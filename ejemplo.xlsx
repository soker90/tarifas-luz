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an Veríssimo\Documents\forocoches\forocoches\"/>
    </mc:Choice>
  </mc:AlternateContent>
  <bookViews>
    <workbookView xWindow="0" yWindow="0" windowWidth="39690" windowHeight="12270"/>
  </bookViews>
  <sheets>
    <sheet name="Comparador" sheetId="1" r:id="rId1"/>
  </sheets>
  <definedNames>
    <definedName name="_xlnm.Print_Area" localSheetId="0">Comparador!$A$1:$AD$113</definedName>
    <definedName name="CELDA_MAG">Comparador!#REF!</definedName>
    <definedName name="contadordia">Comparador!$C$50</definedName>
    <definedName name="diasfct">Comparador!$C$26</definedName>
    <definedName name="Ellano">Comparador!$C$31</definedName>
    <definedName name="Epunta">Comparador!$C$30</definedName>
    <definedName name="Evalle">Comparador!$C$32</definedName>
    <definedName name="finbonsoc">Comparador!$C$48</definedName>
    <definedName name="IEact">Comparador!$C$49</definedName>
    <definedName name="IVAact">Comparador!$C$53</definedName>
    <definedName name="MAG">Comparador!#REF!</definedName>
    <definedName name="PPdia">Comparador!$C$27</definedName>
    <definedName name="ppuntaboe">Comparador!$Y$4</definedName>
    <definedName name="pvalleboe">Comparador!$Y$5</definedName>
    <definedName name="PVdia">Comparador!$C$28</definedName>
    <definedName name="WEKIWI_opcion3">Comparador!$D$63:$J$63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1" l="1"/>
  <c r="K43" i="1" s="1"/>
  <c r="K10" i="1"/>
  <c r="K11" i="1"/>
  <c r="K25" i="1"/>
  <c r="K27" i="1"/>
  <c r="K30" i="1"/>
  <c r="K31" i="1"/>
  <c r="K32" i="1"/>
  <c r="K34" i="1"/>
  <c r="K36" i="1"/>
  <c r="K48" i="1"/>
  <c r="K50" i="1"/>
  <c r="K51" i="1"/>
  <c r="K56" i="1"/>
  <c r="K61" i="1"/>
  <c r="K62" i="1"/>
  <c r="K35" i="1" l="1"/>
  <c r="K37" i="1" s="1"/>
  <c r="K38" i="1" s="1"/>
  <c r="K44" i="1"/>
  <c r="K45" i="1" s="1"/>
  <c r="K57" i="1" s="1"/>
  <c r="K39" i="1"/>
  <c r="H9" i="1"/>
  <c r="H8" i="1"/>
  <c r="Q62" i="1"/>
  <c r="K40" i="1" l="1"/>
  <c r="K46" i="1"/>
  <c r="K41" i="1"/>
  <c r="K42" i="1"/>
  <c r="K49" i="1"/>
  <c r="K52" i="1" s="1"/>
  <c r="K53" i="1" s="1"/>
  <c r="K55" i="1" s="1"/>
  <c r="Q8" i="1"/>
  <c r="Q9" i="1" s="1"/>
  <c r="P9" i="1"/>
  <c r="P8" i="1"/>
  <c r="I9" i="1"/>
  <c r="I8" i="1"/>
  <c r="S13" i="1"/>
  <c r="S9" i="1"/>
  <c r="S8" i="1"/>
  <c r="C48" i="1"/>
  <c r="K59" i="1" l="1"/>
  <c r="K58" i="1"/>
  <c r="K60" i="1" s="1"/>
  <c r="H10" i="1"/>
  <c r="H11" i="1"/>
  <c r="H25" i="1"/>
  <c r="H27" i="1"/>
  <c r="H43" i="1" s="1"/>
  <c r="H28" i="1"/>
  <c r="H30" i="1"/>
  <c r="H31" i="1"/>
  <c r="H32" i="1"/>
  <c r="H34" i="1"/>
  <c r="H36" i="1"/>
  <c r="H48" i="1"/>
  <c r="H51" i="1"/>
  <c r="H56" i="1"/>
  <c r="H61" i="1"/>
  <c r="H62" i="1"/>
  <c r="F25" i="1"/>
  <c r="G25" i="1"/>
  <c r="F27" i="1"/>
  <c r="G27" i="1"/>
  <c r="F28" i="1"/>
  <c r="G28" i="1"/>
  <c r="F30" i="1"/>
  <c r="G30" i="1"/>
  <c r="F31" i="1"/>
  <c r="G31" i="1"/>
  <c r="F32" i="1"/>
  <c r="G32" i="1"/>
  <c r="F35" i="1"/>
  <c r="F10" i="1"/>
  <c r="F11" i="1"/>
  <c r="F34" i="1"/>
  <c r="F36" i="1"/>
  <c r="F51" i="1"/>
  <c r="F56" i="1"/>
  <c r="F61" i="1" s="1"/>
  <c r="F62" i="1"/>
  <c r="G62" i="1"/>
  <c r="H35" i="1" l="1"/>
  <c r="H44" i="1"/>
  <c r="H37" i="1"/>
  <c r="H38" i="1" s="1"/>
  <c r="H39" i="1"/>
  <c r="H42" i="1"/>
  <c r="H41" i="1"/>
  <c r="H40" i="1"/>
  <c r="F39" i="1"/>
  <c r="F44" i="1"/>
  <c r="F45" i="1" s="1"/>
  <c r="F57" i="1" s="1"/>
  <c r="F43" i="1"/>
  <c r="F37" i="1"/>
  <c r="F38" i="1" s="1"/>
  <c r="F42" i="1"/>
  <c r="F41" i="1"/>
  <c r="F40" i="1"/>
  <c r="E56" i="1"/>
  <c r="E61" i="1" s="1"/>
  <c r="I56" i="1"/>
  <c r="I61" i="1" s="1"/>
  <c r="J56" i="1"/>
  <c r="J61" i="1" s="1"/>
  <c r="L56" i="1"/>
  <c r="L61" i="1" s="1"/>
  <c r="N56" i="1"/>
  <c r="N61" i="1" s="1"/>
  <c r="P56" i="1"/>
  <c r="P61" i="1" s="1"/>
  <c r="Q56" i="1"/>
  <c r="Q61" i="1" s="1"/>
  <c r="R56" i="1"/>
  <c r="R61" i="1" s="1"/>
  <c r="S56" i="1"/>
  <c r="D56" i="1"/>
  <c r="D59" i="1"/>
  <c r="D61" i="1"/>
  <c r="H45" i="1" l="1"/>
  <c r="H57" i="1" s="1"/>
  <c r="M9" i="1"/>
  <c r="M28" i="1" s="1"/>
  <c r="M8" i="1"/>
  <c r="M10" i="1" s="1"/>
  <c r="M25" i="1"/>
  <c r="M30" i="1"/>
  <c r="M31" i="1"/>
  <c r="M32" i="1"/>
  <c r="M39" i="1" s="1"/>
  <c r="M34" i="1"/>
  <c r="M36" i="1"/>
  <c r="M44" i="1"/>
  <c r="M51" i="1"/>
  <c r="M62" i="1"/>
  <c r="M11" i="1" l="1"/>
  <c r="M27" i="1"/>
  <c r="M43" i="1" s="1"/>
  <c r="M35" i="1"/>
  <c r="M42" i="1" s="1"/>
  <c r="S15" i="1"/>
  <c r="M45" i="1" l="1"/>
  <c r="M57" i="1" s="1"/>
  <c r="M40" i="1"/>
  <c r="M41" i="1"/>
  <c r="M37" i="1"/>
  <c r="M38" i="1" s="1"/>
  <c r="G10" i="1"/>
  <c r="G11" i="1"/>
  <c r="G34" i="1"/>
  <c r="G36" i="1"/>
  <c r="G51" i="1"/>
  <c r="G43" i="1" l="1"/>
  <c r="G39" i="1"/>
  <c r="G35" i="1"/>
  <c r="G41" i="1" s="1"/>
  <c r="G37" i="1" l="1"/>
  <c r="G38" i="1" s="1"/>
  <c r="G40" i="1"/>
  <c r="G42" i="1"/>
  <c r="G44" i="1"/>
  <c r="G45" i="1" l="1"/>
  <c r="G57" i="1" s="1"/>
  <c r="S14" i="1" l="1"/>
  <c r="I25" i="1"/>
  <c r="I30" i="1"/>
  <c r="I31" i="1"/>
  <c r="I32" i="1"/>
  <c r="I34" i="1"/>
  <c r="I36" i="1"/>
  <c r="I51" i="1"/>
  <c r="I62" i="1"/>
  <c r="I28" i="1"/>
  <c r="I35" i="1" l="1"/>
  <c r="I44" i="1" s="1"/>
  <c r="I45" i="1" s="1"/>
  <c r="I57" i="1" s="1"/>
  <c r="I10" i="1"/>
  <c r="I39" i="1"/>
  <c r="I27" i="1"/>
  <c r="I43" i="1" s="1"/>
  <c r="I11" i="1"/>
  <c r="D1" i="1"/>
  <c r="E9" i="1"/>
  <c r="J9" i="1"/>
  <c r="J11" i="1" s="1"/>
  <c r="S28" i="1"/>
  <c r="D10" i="1"/>
  <c r="L10" i="1"/>
  <c r="N10" i="1"/>
  <c r="O10" i="1"/>
  <c r="P10" i="1"/>
  <c r="R10" i="1"/>
  <c r="D11" i="1"/>
  <c r="L11" i="1"/>
  <c r="N11" i="1"/>
  <c r="O11" i="1"/>
  <c r="P11" i="1"/>
  <c r="R11" i="1"/>
  <c r="S30" i="1"/>
  <c r="E31" i="1"/>
  <c r="S31" i="1"/>
  <c r="E32" i="1"/>
  <c r="D25" i="1"/>
  <c r="E25" i="1"/>
  <c r="J25" i="1"/>
  <c r="L25" i="1"/>
  <c r="N25" i="1"/>
  <c r="O25" i="1"/>
  <c r="P25" i="1"/>
  <c r="Q25" i="1"/>
  <c r="R25" i="1"/>
  <c r="S25" i="1"/>
  <c r="T25" i="1"/>
  <c r="D27" i="1"/>
  <c r="E27" i="1"/>
  <c r="J27" i="1"/>
  <c r="L27" i="1"/>
  <c r="N27" i="1"/>
  <c r="O27" i="1"/>
  <c r="P27" i="1"/>
  <c r="Q27" i="1"/>
  <c r="R27" i="1"/>
  <c r="D28" i="1"/>
  <c r="E28" i="1"/>
  <c r="L28" i="1"/>
  <c r="N28" i="1"/>
  <c r="O28" i="1"/>
  <c r="P28" i="1"/>
  <c r="Q28" i="1"/>
  <c r="R28" i="1"/>
  <c r="D30" i="1"/>
  <c r="E30" i="1"/>
  <c r="J30" i="1"/>
  <c r="L30" i="1"/>
  <c r="N30" i="1"/>
  <c r="O30" i="1"/>
  <c r="P30" i="1"/>
  <c r="Q30" i="1"/>
  <c r="R30" i="1"/>
  <c r="D31" i="1"/>
  <c r="J31" i="1"/>
  <c r="L31" i="1"/>
  <c r="N31" i="1"/>
  <c r="O31" i="1"/>
  <c r="P31" i="1"/>
  <c r="Q31" i="1"/>
  <c r="R31" i="1"/>
  <c r="D32" i="1"/>
  <c r="J32" i="1"/>
  <c r="L32" i="1"/>
  <c r="N32" i="1"/>
  <c r="O32" i="1"/>
  <c r="P32" i="1"/>
  <c r="Q32" i="1"/>
  <c r="R32" i="1"/>
  <c r="S32" i="1"/>
  <c r="D34" i="1"/>
  <c r="E34" i="1"/>
  <c r="J34" i="1"/>
  <c r="L34" i="1"/>
  <c r="N34" i="1"/>
  <c r="O34" i="1"/>
  <c r="P34" i="1"/>
  <c r="Q34" i="1"/>
  <c r="R34" i="1"/>
  <c r="S34" i="1"/>
  <c r="T35" i="1"/>
  <c r="D36" i="1"/>
  <c r="E36" i="1"/>
  <c r="J36" i="1"/>
  <c r="L36" i="1"/>
  <c r="N36" i="1"/>
  <c r="O36" i="1"/>
  <c r="P36" i="1"/>
  <c r="Q36" i="1"/>
  <c r="R36" i="1"/>
  <c r="S36" i="1"/>
  <c r="T36" i="1"/>
  <c r="T37" i="1"/>
  <c r="T38" i="1"/>
  <c r="T39" i="1"/>
  <c r="T40" i="1"/>
  <c r="T41" i="1"/>
  <c r="T42" i="1"/>
  <c r="T48" i="1"/>
  <c r="T49" i="1"/>
  <c r="T50" i="1"/>
  <c r="D51" i="1"/>
  <c r="E51" i="1"/>
  <c r="J51" i="1"/>
  <c r="L51" i="1"/>
  <c r="N51" i="1"/>
  <c r="O51" i="1"/>
  <c r="P51" i="1"/>
  <c r="Q51" i="1"/>
  <c r="R51" i="1"/>
  <c r="S51" i="1"/>
  <c r="T51" i="1"/>
  <c r="T52" i="1"/>
  <c r="T53" i="1"/>
  <c r="T54" i="1"/>
  <c r="D55" i="1"/>
  <c r="D58" i="1" s="1"/>
  <c r="T55" i="1"/>
  <c r="T56" i="1"/>
  <c r="T57" i="1"/>
  <c r="T58" i="1"/>
  <c r="T59" i="1"/>
  <c r="S61" i="1"/>
  <c r="E62" i="1"/>
  <c r="J62" i="1"/>
  <c r="L62" i="1"/>
  <c r="N62" i="1"/>
  <c r="O62" i="1"/>
  <c r="R62" i="1"/>
  <c r="S62" i="1"/>
  <c r="O43" i="1" l="1"/>
  <c r="S11" i="1"/>
  <c r="Q10" i="1"/>
  <c r="S27" i="1"/>
  <c r="E11" i="1"/>
  <c r="D39" i="1"/>
  <c r="E43" i="1"/>
  <c r="J10" i="1"/>
  <c r="I40" i="1"/>
  <c r="I42" i="1"/>
  <c r="I37" i="1"/>
  <c r="I38" i="1" s="1"/>
  <c r="I41" i="1"/>
  <c r="N43" i="1"/>
  <c r="R35" i="1"/>
  <c r="R42" i="1" s="1"/>
  <c r="L44" i="1"/>
  <c r="R39" i="1"/>
  <c r="O39" i="1"/>
  <c r="R43" i="1"/>
  <c r="P43" i="1"/>
  <c r="E10" i="1"/>
  <c r="J35" i="1"/>
  <c r="J40" i="1" s="1"/>
  <c r="O35" i="1"/>
  <c r="O41" i="1" s="1"/>
  <c r="N39" i="1"/>
  <c r="D44" i="1"/>
  <c r="Q43" i="1"/>
  <c r="L43" i="1"/>
  <c r="D43" i="1"/>
  <c r="S10" i="1"/>
  <c r="Q11" i="1"/>
  <c r="D35" i="1"/>
  <c r="D42" i="1" s="1"/>
  <c r="L39" i="1"/>
  <c r="J28" i="1"/>
  <c r="J43" i="1" s="1"/>
  <c r="N35" i="1"/>
  <c r="N37" i="1" s="1"/>
  <c r="N38" i="1" s="1"/>
  <c r="E35" i="1"/>
  <c r="E37" i="1" s="1"/>
  <c r="E38" i="1" s="1"/>
  <c r="L35" i="1"/>
  <c r="L41" i="1" s="1"/>
  <c r="P35" i="1"/>
  <c r="P42" i="1" s="1"/>
  <c r="S43" i="1"/>
  <c r="S35" i="1"/>
  <c r="S40" i="1" s="1"/>
  <c r="P39" i="1"/>
  <c r="Q35" i="1"/>
  <c r="Q42" i="1" s="1"/>
  <c r="E39" i="1"/>
  <c r="P44" i="1"/>
  <c r="S39" i="1"/>
  <c r="Q39" i="1"/>
  <c r="J39" i="1"/>
  <c r="B1" i="1"/>
  <c r="J44" i="1" l="1"/>
  <c r="J45" i="1" s="1"/>
  <c r="J57" i="1" s="1"/>
  <c r="L40" i="1"/>
  <c r="E41" i="1"/>
  <c r="P40" i="1"/>
  <c r="P41" i="1"/>
  <c r="N40" i="1"/>
  <c r="D37" i="1"/>
  <c r="D38" i="1" s="1"/>
  <c r="D40" i="1"/>
  <c r="L37" i="1"/>
  <c r="L38" i="1" s="1"/>
  <c r="R44" i="1"/>
  <c r="R45" i="1" s="1"/>
  <c r="R57" i="1" s="1"/>
  <c r="L42" i="1"/>
  <c r="D41" i="1"/>
  <c r="L45" i="1"/>
  <c r="L57" i="1" s="1"/>
  <c r="P45" i="1"/>
  <c r="P57" i="1" s="1"/>
  <c r="N41" i="1"/>
  <c r="R41" i="1"/>
  <c r="R40" i="1"/>
  <c r="R37" i="1"/>
  <c r="R38" i="1" s="1"/>
  <c r="J37" i="1"/>
  <c r="J38" i="1" s="1"/>
  <c r="J41" i="1"/>
  <c r="O40" i="1"/>
  <c r="O44" i="1"/>
  <c r="O45" i="1" s="1"/>
  <c r="O57" i="1" s="1"/>
  <c r="P37" i="1"/>
  <c r="P38" i="1" s="1"/>
  <c r="E44" i="1"/>
  <c r="E45" i="1" s="1"/>
  <c r="E57" i="1" s="1"/>
  <c r="N42" i="1"/>
  <c r="J42" i="1"/>
  <c r="O37" i="1"/>
  <c r="O38" i="1" s="1"/>
  <c r="O42" i="1"/>
  <c r="E40" i="1"/>
  <c r="S44" i="1"/>
  <c r="S45" i="1" s="1"/>
  <c r="S57" i="1" s="1"/>
  <c r="E42" i="1"/>
  <c r="N44" i="1"/>
  <c r="N45" i="1" s="1"/>
  <c r="N57" i="1" s="1"/>
  <c r="Q44" i="1"/>
  <c r="Q45" i="1" s="1"/>
  <c r="Q57" i="1" s="1"/>
  <c r="D45" i="1"/>
  <c r="D57" i="1" s="1"/>
  <c r="S37" i="1"/>
  <c r="S38" i="1" s="1"/>
  <c r="S42" i="1"/>
  <c r="S41" i="1"/>
  <c r="Q41" i="1"/>
  <c r="Q40" i="1"/>
  <c r="Q37" i="1"/>
  <c r="Q38" i="1" s="1"/>
  <c r="C50" i="1"/>
  <c r="F50" i="1" l="1"/>
  <c r="H50" i="1"/>
  <c r="M50" i="1"/>
  <c r="G50" i="1"/>
  <c r="I50" i="1"/>
  <c r="D50" i="1"/>
  <c r="E50" i="1"/>
  <c r="J50" i="1"/>
  <c r="L50" i="1"/>
  <c r="N50" i="1"/>
  <c r="O50" i="1"/>
  <c r="P50" i="1"/>
  <c r="Q50" i="1"/>
  <c r="R50" i="1"/>
  <c r="S50" i="1"/>
  <c r="F48" i="1"/>
  <c r="G48" i="1" l="1"/>
  <c r="I48" i="1"/>
  <c r="D48" i="1"/>
  <c r="E48" i="1"/>
  <c r="J48" i="1"/>
  <c r="L48" i="1"/>
  <c r="N48" i="1"/>
  <c r="O48" i="1"/>
  <c r="P48" i="1"/>
  <c r="Q48" i="1"/>
  <c r="R48" i="1"/>
  <c r="S48" i="1"/>
  <c r="AA15" i="1"/>
  <c r="B15" i="1" l="1"/>
  <c r="B14" i="1"/>
  <c r="B13" i="1"/>
  <c r="B9" i="1" l="1"/>
  <c r="W19" i="1" l="1"/>
  <c r="B24" i="1"/>
  <c r="W8" i="1"/>
  <c r="Z8" i="1" s="1"/>
  <c r="W9" i="1"/>
  <c r="Z9" i="1" s="1"/>
  <c r="W5" i="1"/>
  <c r="W7" i="1"/>
  <c r="W4" i="1"/>
  <c r="W3" i="1"/>
  <c r="AA10" i="1"/>
  <c r="B66" i="1"/>
  <c r="C33" i="1"/>
  <c r="H46" i="1" l="1"/>
  <c r="H49" i="1"/>
  <c r="H52" i="1" s="1"/>
  <c r="H53" i="1" s="1"/>
  <c r="H55" i="1" s="1"/>
  <c r="F46" i="1"/>
  <c r="F49" i="1"/>
  <c r="F52" i="1" s="1"/>
  <c r="F53" i="1" s="1"/>
  <c r="F55" i="1" s="1"/>
  <c r="G56" i="1"/>
  <c r="G61" i="1" s="1"/>
  <c r="O56" i="1"/>
  <c r="O61" i="1" s="1"/>
  <c r="M56" i="1"/>
  <c r="M61" i="1" s="1"/>
  <c r="M49" i="1"/>
  <c r="M52" i="1" s="1"/>
  <c r="M46" i="1"/>
  <c r="G46" i="1"/>
  <c r="G49" i="1"/>
  <c r="G52" i="1" s="1"/>
  <c r="G53" i="1" s="1"/>
  <c r="G55" i="1" s="1"/>
  <c r="I46" i="1"/>
  <c r="I49" i="1"/>
  <c r="I52" i="1" s="1"/>
  <c r="I53" i="1" s="1"/>
  <c r="I55" i="1" s="1"/>
  <c r="D33" i="1"/>
  <c r="D46" i="1"/>
  <c r="E46" i="1"/>
  <c r="J46" i="1"/>
  <c r="L46" i="1"/>
  <c r="N46" i="1"/>
  <c r="O46" i="1"/>
  <c r="P46" i="1"/>
  <c r="Q46" i="1"/>
  <c r="R46" i="1"/>
  <c r="S46" i="1"/>
  <c r="D49" i="1"/>
  <c r="D52" i="1" s="1"/>
  <c r="D53" i="1" s="1"/>
  <c r="E49" i="1"/>
  <c r="E52" i="1" s="1"/>
  <c r="J49" i="1"/>
  <c r="J52" i="1" s="1"/>
  <c r="L49" i="1"/>
  <c r="L52" i="1" s="1"/>
  <c r="N49" i="1"/>
  <c r="N52" i="1" s="1"/>
  <c r="O49" i="1"/>
  <c r="O52" i="1" s="1"/>
  <c r="P49" i="1"/>
  <c r="P52" i="1" s="1"/>
  <c r="Q49" i="1"/>
  <c r="Q52" i="1" s="1"/>
  <c r="R49" i="1"/>
  <c r="R52" i="1" s="1"/>
  <c r="S49" i="1"/>
  <c r="S52" i="1" s="1"/>
  <c r="T60" i="1"/>
  <c r="Z5" i="1"/>
  <c r="Z4" i="1"/>
  <c r="W6" i="1"/>
  <c r="AA6" i="1" s="1"/>
  <c r="AA4" i="1"/>
  <c r="Z7" i="1"/>
  <c r="AA7" i="1"/>
  <c r="AA5" i="1"/>
  <c r="AA9" i="1"/>
  <c r="AA8" i="1"/>
  <c r="AB7" i="1"/>
  <c r="AB9" i="1"/>
  <c r="AB8" i="1"/>
  <c r="AA14" i="1"/>
  <c r="H58" i="1" l="1"/>
  <c r="H59" i="1"/>
  <c r="F58" i="1"/>
  <c r="F59" i="1"/>
  <c r="M53" i="1"/>
  <c r="M55" i="1" s="1"/>
  <c r="G59" i="1"/>
  <c r="G58" i="1"/>
  <c r="I58" i="1"/>
  <c r="I59" i="1"/>
  <c r="S53" i="1"/>
  <c r="S55" i="1" s="1"/>
  <c r="R53" i="1"/>
  <c r="R55" i="1" s="1"/>
  <c r="Q53" i="1"/>
  <c r="Q55" i="1" s="1"/>
  <c r="Q58" i="1" s="1"/>
  <c r="P53" i="1"/>
  <c r="P55" i="1" s="1"/>
  <c r="O53" i="1"/>
  <c r="O55" i="1" s="1"/>
  <c r="N53" i="1"/>
  <c r="N55" i="1" s="1"/>
  <c r="L53" i="1"/>
  <c r="L55" i="1" s="1"/>
  <c r="J53" i="1"/>
  <c r="J55" i="1" s="1"/>
  <c r="E53" i="1"/>
  <c r="E55" i="1" s="1"/>
  <c r="Z6" i="1"/>
  <c r="AA11" i="1"/>
  <c r="AA12" i="1"/>
  <c r="AB11" i="1" s="1"/>
  <c r="M59" i="1" l="1"/>
  <c r="M58" i="1"/>
  <c r="E58" i="1"/>
  <c r="E59" i="1"/>
  <c r="J58" i="1"/>
  <c r="J59" i="1"/>
  <c r="L58" i="1"/>
  <c r="L59" i="1"/>
  <c r="N58" i="1"/>
  <c r="N59" i="1"/>
  <c r="O58" i="1"/>
  <c r="O59" i="1"/>
  <c r="P58" i="1"/>
  <c r="P59" i="1"/>
  <c r="Q59" i="1"/>
  <c r="R58" i="1"/>
  <c r="R59" i="1"/>
  <c r="S58" i="1"/>
  <c r="S59" i="1"/>
  <c r="AA13" i="1"/>
  <c r="AA17" i="1" s="1"/>
  <c r="H60" i="1" l="1"/>
  <c r="F60" i="1"/>
  <c r="D60" i="1"/>
  <c r="M60" i="1"/>
  <c r="G60" i="1"/>
  <c r="I60" i="1"/>
  <c r="S60" i="1"/>
  <c r="R60" i="1"/>
  <c r="Q60" i="1"/>
  <c r="P60" i="1"/>
  <c r="O60" i="1"/>
  <c r="N60" i="1"/>
  <c r="L60" i="1"/>
  <c r="J60" i="1"/>
  <c r="E60" i="1"/>
  <c r="AA19" i="1"/>
  <c r="AA20" i="1" s="1"/>
  <c r="B62" i="1" l="1"/>
</calcChain>
</file>

<file path=xl/comments1.xml><?xml version="1.0" encoding="utf-8"?>
<comments xmlns="http://schemas.openxmlformats.org/spreadsheetml/2006/main">
  <authors>
    <author>Javier Diaz</author>
    <author>I</author>
  </authors>
  <commentList>
    <comment ref="B1" authorId="0" shapeId="0">
      <text>
        <r>
          <rPr>
            <sz val="10"/>
            <color rgb="FF000000"/>
            <rFont val="Arial"/>
            <family val="2"/>
            <scheme val="minor"/>
          </rPr>
          <t>Sigue el enlace para comprobar si tienes la última versión del Excel</t>
        </r>
      </text>
    </comment>
    <comment ref="D8" authorId="1" shapeId="0">
      <text>
        <r>
          <rPr>
            <b/>
            <sz val="9"/>
            <color indexed="81"/>
            <rFont val="Tahoma"/>
            <family val="2"/>
          </rPr>
          <t xml:space="preserve">I:
</t>
        </r>
        <r>
          <rPr>
            <sz val="9"/>
            <color indexed="81"/>
            <rFont val="Tahoma"/>
            <family val="2"/>
          </rPr>
          <t>-</t>
        </r>
        <r>
          <rPr>
            <sz val="11"/>
            <color indexed="81"/>
            <rFont val="Tahoma"/>
            <family val="2"/>
          </rPr>
          <t xml:space="preserve">Esta columna solo debería rellenarse para introducir el precios de una tarifa de una </t>
        </r>
        <r>
          <rPr>
            <b/>
            <sz val="11"/>
            <color indexed="81"/>
            <rFont val="Tahoma"/>
            <family val="2"/>
          </rPr>
          <t>oferta personalizada</t>
        </r>
        <r>
          <rPr>
            <sz val="11"/>
            <color indexed="81"/>
            <rFont val="Tahoma"/>
            <family val="2"/>
          </rPr>
          <t xml:space="preserve"> que te hayan realizado por captación, renovación, etc. y que no esté en el resto de columnas.
Comparar con tu factura actual no hace falta, ya sabes lo que pagas, por lo que solo lo hagas si quieres hacer alguna comprobación.</t>
        </r>
      </text>
    </comment>
    <comment ref="D9" authorId="1" shapeId="0">
      <text>
        <r>
          <rPr>
            <sz val="10"/>
            <color rgb="FF000000"/>
            <rFont val="Arial"/>
            <scheme val="minor"/>
          </rPr>
          <t>I:
TotalEnergies suele dar un único valor para el precio de la potencia(0,1452€/kW día), por lo que el valor de esta casilla debería ser cero en ese caso.
 Es la única comercializadora que hace eso.
Si tuvieras 2 potencias, divide el valor que te ha dado a la mitad en cada uno de los periodos, que es lo que hacen cuando tienes 2 potencias diferentes.</t>
        </r>
      </text>
    </comment>
    <comment ref="S13" authorId="1" shapeId="0">
      <text>
        <r>
          <rPr>
            <b/>
            <sz val="9"/>
            <color indexed="81"/>
            <rFont val="Tahoma"/>
            <family val="2"/>
          </rPr>
          <t>I:</t>
        </r>
        <r>
          <rPr>
            <sz val="9"/>
            <color indexed="81"/>
            <rFont val="Tahoma"/>
            <family val="2"/>
          </rPr>
          <t xml:space="preserve">
Estos son unos valores medios, pero podrías personalizarlos si crees que en tu caso podrías obtener otros precios en PVPC.</t>
        </r>
      </text>
    </comment>
    <comment ref="B23" authorId="1" shapeId="0">
      <text>
        <r>
          <rPr>
            <b/>
            <sz val="9"/>
            <color indexed="81"/>
            <rFont val="Tahoma"/>
            <family val="2"/>
          </rPr>
          <t>I:</t>
        </r>
        <r>
          <rPr>
            <sz val="9"/>
            <color indexed="81"/>
            <rFont val="Tahoma"/>
            <family val="2"/>
          </rPr>
          <t xml:space="preserve">
Los referidos está prohibido pedirlos u ofrecerlos en la plataforma, pero hay subforo específico en Forocoches y otros sitios donde puedes conseguirlos. Un familiar o amigo estará agradecido (o no), pero os beneficiais mutuamente
</t>
        </r>
      </text>
    </comment>
    <comment ref="C26" authorId="1" shapeId="0">
      <text>
        <r>
          <rPr>
            <b/>
            <sz val="11"/>
            <color indexed="81"/>
            <rFont val="Tahoma"/>
            <family val="2"/>
          </rPr>
          <t>I:</t>
        </r>
        <r>
          <rPr>
            <sz val="11"/>
            <color indexed="81"/>
            <rFont val="Tahoma"/>
            <family val="2"/>
          </rPr>
          <t xml:space="preserve">
Valora tambien clacular para 365 días, no solo una factura.</t>
        </r>
      </text>
    </comment>
    <comment ref="C28" authorId="1" shapeId="0">
      <text>
        <r>
          <rPr>
            <b/>
            <sz val="9"/>
            <color indexed="81"/>
            <rFont val="Tahoma"/>
            <family val="2"/>
          </rPr>
          <t>I:</t>
        </r>
        <r>
          <rPr>
            <sz val="9"/>
            <color indexed="81"/>
            <rFont val="Tahoma"/>
            <family val="2"/>
          </rPr>
          <t xml:space="preserve">
En todos los suministros de menos de 15kW(2.0TD) hay dos potencias, anque sean del mismo valor</t>
        </r>
      </text>
    </comment>
    <comment ref="C30" authorId="1" shapeId="0">
      <text>
        <r>
          <rPr>
            <b/>
            <sz val="9"/>
            <color indexed="81"/>
            <rFont val="Tahoma"/>
            <family val="2"/>
          </rPr>
          <t>I:</t>
        </r>
        <r>
          <rPr>
            <sz val="9"/>
            <color indexed="81"/>
            <rFont val="Tahoma"/>
            <family val="2"/>
          </rPr>
          <t xml:space="preserve">
Mira las lecturas en el apartado de lecturas de 
tu factura. </t>
        </r>
        <r>
          <rPr>
            <u/>
            <sz val="9"/>
            <color indexed="81"/>
            <rFont val="Tahoma"/>
            <family val="2"/>
          </rPr>
          <t xml:space="preserve">Horario punta.
</t>
        </r>
        <r>
          <rPr>
            <sz val="9"/>
            <color indexed="81"/>
            <rFont val="Tahoma"/>
            <family val="2"/>
          </rPr>
          <t xml:space="preserve">
· Si no tienes lecturas (domicilio nuevo, fallos en la distribuidora), puedes dejarlos por defecto.
· No confundas hora punta-llano-valle con horas promocionadas o no promocionadas que hay en algunas compañías
</t>
        </r>
      </text>
    </comment>
    <comment ref="C31" authorId="1" shapeId="0">
      <text>
        <r>
          <rPr>
            <b/>
            <sz val="9"/>
            <color indexed="81"/>
            <rFont val="Tahoma"/>
            <family val="2"/>
          </rPr>
          <t>I:</t>
        </r>
        <r>
          <rPr>
            <sz val="9"/>
            <color indexed="81"/>
            <rFont val="Tahoma"/>
            <family val="2"/>
          </rPr>
          <t xml:space="preserve">
Mira las lecturas en el apartado de lecturas de 
tu factura. </t>
        </r>
        <r>
          <rPr>
            <u/>
            <sz val="9"/>
            <color indexed="81"/>
            <rFont val="Tahoma"/>
            <family val="2"/>
          </rPr>
          <t xml:space="preserve">Horario llano.
</t>
        </r>
        <r>
          <rPr>
            <sz val="9"/>
            <color indexed="81"/>
            <rFont val="Tahoma"/>
            <family val="2"/>
          </rPr>
          <t xml:space="preserve">
· Si no tienes lecturas (domicilio nuevo, fallos en la distribuidora), puedes dejarlos por defecto.
</t>
        </r>
      </text>
    </comment>
    <comment ref="C32" authorId="1" shapeId="0">
      <text>
        <r>
          <rPr>
            <b/>
            <sz val="9"/>
            <color indexed="81"/>
            <rFont val="Tahoma"/>
            <family val="2"/>
          </rPr>
          <t>I:</t>
        </r>
        <r>
          <rPr>
            <sz val="9"/>
            <color indexed="81"/>
            <rFont val="Tahoma"/>
            <family val="2"/>
          </rPr>
          <t xml:space="preserve">
Mira las lecturas en el apartado de lecturas de 
tu factura. </t>
        </r>
        <r>
          <rPr>
            <u/>
            <sz val="9"/>
            <color indexed="81"/>
            <rFont val="Tahoma"/>
            <family val="2"/>
          </rPr>
          <t>Horario valle.</t>
        </r>
        <r>
          <rPr>
            <sz val="9"/>
            <color indexed="81"/>
            <rFont val="Tahoma"/>
            <family val="2"/>
          </rPr>
          <t xml:space="preserve">
·Si no tienes lecturas (domicilio nuevo, fallos en la distribuidora), puedes dejarlos por defecto.
 · No confundas hora punta-llano-valle con horas promocionadas o no promocionadas que hay en algunas compañías
</t>
        </r>
      </text>
    </comment>
    <comment ref="B43" authorId="1" shapeId="0">
      <text>
        <r>
          <rPr>
            <b/>
            <sz val="9"/>
            <color indexed="81"/>
            <rFont val="Tahoma"/>
            <family val="2"/>
          </rPr>
          <t>I:</t>
        </r>
        <r>
          <rPr>
            <sz val="9"/>
            <color indexed="81"/>
            <rFont val="Tahoma"/>
            <family val="2"/>
          </rPr>
          <t xml:space="preserve">
Cuantas más rayitas, más caro. Lo que importa es la factura total, pero con este indicador puedes ver visualmente si la potencio y/o la energía son relativamente caras o baratas</t>
        </r>
      </text>
    </comment>
    <comment ref="B53" authorId="1" shapeId="0">
      <text>
        <r>
          <rPr>
            <b/>
            <sz val="9"/>
            <color indexed="81"/>
            <rFont val="Tahoma"/>
            <family val="2"/>
          </rPr>
          <t>I:</t>
        </r>
        <r>
          <rPr>
            <sz val="9"/>
            <color indexed="81"/>
            <rFont val="Tahoma"/>
            <family val="2"/>
          </rPr>
          <t xml:space="preserve">
21% Excepto Canarias(IGIC), Ceuta y Melilla,(IPSI) que tiene un impuesto equivalente. Comprueba tu caso
</t>
        </r>
      </text>
    </comment>
    <comment ref="Q58" authorId="0" shapeId="0">
      <text>
        <r>
          <rPr>
            <sz val="10"/>
            <color rgb="FF000000"/>
            <rFont val="Arial"/>
            <scheme val="minor"/>
          </rPr>
          <t>-5€ cada mes/6 meses</t>
        </r>
      </text>
    </comment>
  </commentList>
</comments>
</file>

<file path=xl/sharedStrings.xml><?xml version="1.0" encoding="utf-8"?>
<sst xmlns="http://schemas.openxmlformats.org/spreadsheetml/2006/main" count="241" uniqueCount="167">
  <si>
    <t>Actualizado</t>
  </si>
  <si>
    <t>resumen de tarifas</t>
  </si>
  <si>
    <t>PERSONALIZADA</t>
  </si>
  <si>
    <t>OCTOPUS</t>
  </si>
  <si>
    <t>ESLUZ</t>
  </si>
  <si>
    <t>NUFRI</t>
  </si>
  <si>
    <t>IMAGINA</t>
  </si>
  <si>
    <t>Doméstica-Visalia</t>
  </si>
  <si>
    <t>REPSOL</t>
  </si>
  <si>
    <t>Enérgya VM</t>
  </si>
  <si>
    <t>Iberdrola</t>
  </si>
  <si>
    <t>Naturgy</t>
  </si>
  <si>
    <t>Endesa</t>
  </si>
  <si>
    <t>Total Energies</t>
  </si>
  <si>
    <t>CHC energía</t>
  </si>
  <si>
    <t>COMERCIALIZADORAS DE REFERENCIA</t>
  </si>
  <si>
    <t>Comercializadora --&gt;</t>
  </si>
  <si>
    <t>AYUDA PARA CALCULAR PRECIOS MEDIOS DE ENERGÍA SI ESTAS ACTUALMENTE EN PVPC-REGULADO</t>
  </si>
  <si>
    <t>RESULTADOS</t>
  </si>
  <si>
    <t>Tarifas contratadas hace tiempo o que no estén</t>
  </si>
  <si>
    <t>SUN CLUB</t>
  </si>
  <si>
    <t>SOLAR FIJA 2.0</t>
  </si>
  <si>
    <t>Flex</t>
  </si>
  <si>
    <t>Tarifa base. Sin horas</t>
  </si>
  <si>
    <t>Tarifa base. Noches y findes</t>
  </si>
  <si>
    <t xml:space="preserve">Luz Fijo 24h </t>
  </si>
  <si>
    <t>Ahorro Plus</t>
  </si>
  <si>
    <t>Formula Fija 3p</t>
  </si>
  <si>
    <t>Plan Online 3 periodos</t>
  </si>
  <si>
    <t>Noche</t>
  </si>
  <si>
    <t>Conecta 3 periodos</t>
  </si>
  <si>
    <t>A tu aire Ahorro</t>
  </si>
  <si>
    <t>PLAN VEHICULO ELECTRICO</t>
  </si>
  <si>
    <t>PVPC-REGULADO (semiindexada horaria)</t>
  </si>
  <si>
    <r>
      <rPr>
        <b/>
        <i/>
        <sz val="10"/>
        <color theme="1"/>
        <rFont val="Calibri"/>
        <family val="2"/>
      </rPr>
      <t>Precios sin impuestos</t>
    </r>
    <r>
      <rPr>
        <b/>
        <sz val="10"/>
        <color theme="1"/>
        <rFont val="Calibri"/>
        <family val="2"/>
      </rPr>
      <t xml:space="preserve"> - Tarifas</t>
    </r>
  </si>
  <si>
    <t>Días facturados</t>
  </si>
  <si>
    <t>PRECIOS</t>
  </si>
  <si>
    <t>DETALLE como aparece en factura</t>
  </si>
  <si>
    <t>IMPORTES</t>
  </si>
  <si>
    <t>precios medios 
por periodo</t>
  </si>
  <si>
    <t>PERMANENCIA</t>
  </si>
  <si>
    <t>NO</t>
  </si>
  <si>
    <t>PUEDE</t>
  </si>
  <si>
    <t>&lt;10kW NO</t>
  </si>
  <si>
    <t>Permanencia</t>
  </si>
  <si>
    <t>Potencia punta P1</t>
  </si>
  <si>
    <t>Potencia máxima a contratar</t>
  </si>
  <si>
    <t>Potencia Valle P2</t>
  </si>
  <si>
    <t>Mantenimiento precios</t>
  </si>
  <si>
    <t>indexado horario</t>
  </si>
  <si>
    <t xml:space="preserve">Mantenimiento precios </t>
  </si>
  <si>
    <t>Potencia Margen Comercial</t>
  </si>
  <si>
    <t>Vale para Empresas / Comunidades?</t>
  </si>
  <si>
    <t>SI</t>
  </si>
  <si>
    <t>no</t>
  </si>
  <si>
    <t>SI*</t>
  </si>
  <si>
    <t>Válida para Empresas / Comunidades</t>
  </si>
  <si>
    <t>Energía P1 punta</t>
  </si>
  <si>
    <r>
      <rPr>
        <b/>
        <sz val="10"/>
        <color theme="1"/>
        <rFont val="Arial"/>
        <family val="2"/>
      </rPr>
      <t>Peaje</t>
    </r>
    <r>
      <rPr>
        <sz val="10"/>
        <color theme="1"/>
        <rFont val="Arial"/>
        <family val="2"/>
      </rPr>
      <t xml:space="preserve"> Energía P1 punta</t>
    </r>
  </si>
  <si>
    <t>media punta</t>
  </si>
  <si>
    <t>Potencia punta (€/kW y día)</t>
  </si>
  <si>
    <t xml:space="preserve"> Energía P2 llano</t>
  </si>
  <si>
    <r>
      <rPr>
        <b/>
        <sz val="10"/>
        <color theme="1"/>
        <rFont val="Arial"/>
        <family val="2"/>
      </rPr>
      <t>Peaje</t>
    </r>
    <r>
      <rPr>
        <sz val="10"/>
        <color theme="1"/>
        <rFont val="Arial"/>
        <family val="2"/>
      </rPr>
      <t xml:space="preserve"> Energía P2 llano</t>
    </r>
  </si>
  <si>
    <t>media llano</t>
  </si>
  <si>
    <t>Potencia valle (€/kW y día)</t>
  </si>
  <si>
    <t>Energía P3 valle</t>
  </si>
  <si>
    <r>
      <rPr>
        <b/>
        <sz val="10"/>
        <color theme="1"/>
        <rFont val="Arial"/>
        <family val="2"/>
      </rPr>
      <t>Peaje</t>
    </r>
    <r>
      <rPr>
        <sz val="10"/>
        <color theme="1"/>
        <rFont val="Arial"/>
        <family val="2"/>
      </rPr>
      <t xml:space="preserve"> Energía P3 valle</t>
    </r>
  </si>
  <si>
    <t>media valle</t>
  </si>
  <si>
    <t>Suma potencias</t>
  </si>
  <si>
    <t>Coste de la energía (en €)</t>
  </si>
  <si>
    <t>Cubre el importe del "coste de la energía que aparece en tu factura de PVPC</t>
  </si>
  <si>
    <t>POTENCIA PUNTA+VALLE (€/kW y AÑO)</t>
  </si>
  <si>
    <t>Subtotal Potencia</t>
  </si>
  <si>
    <t>valor medio</t>
  </si>
  <si>
    <t>Periodos</t>
  </si>
  <si>
    <t>Subtotal Energía</t>
  </si>
  <si>
    <t>Energía punta €/kWh MEDIO</t>
  </si>
  <si>
    <t>IMPUESTO ELECTRICO</t>
  </si>
  <si>
    <t>Energía llano €/kWh MEDIO</t>
  </si>
  <si>
    <t>ALQUILER CONTADOR POR DÍA</t>
  </si>
  <si>
    <t>Energía valle €/kWh MEDIO</t>
  </si>
  <si>
    <t>Financiación bono social</t>
  </si>
  <si>
    <t xml:space="preserve"> Compensación de excedentes</t>
  </si>
  <si>
    <t>Excedentes €/kWh Medio</t>
  </si>
  <si>
    <r>
      <t xml:space="preserve">· </t>
    </r>
    <r>
      <rPr>
        <b/>
        <sz val="9"/>
        <color rgb="FF000000"/>
        <rFont val="Calibri"/>
        <family val="2"/>
      </rPr>
      <t xml:space="preserve">nocomp: </t>
    </r>
    <r>
      <rPr>
        <sz val="9"/>
        <color rgb="FF000000"/>
        <rFont val="Calibri"/>
        <family val="2"/>
      </rPr>
      <t xml:space="preserve">no compensa de excedentes
· </t>
    </r>
    <r>
      <rPr>
        <b/>
        <sz val="9"/>
        <color rgb="FF000000"/>
        <rFont val="Calibri"/>
        <family val="2"/>
      </rPr>
      <t>legal</t>
    </r>
    <r>
      <rPr>
        <sz val="9"/>
        <color rgb="FF000000"/>
        <rFont val="Calibri"/>
        <family val="2"/>
      </rPr>
      <t xml:space="preserve">: pagas peajes de energía
· </t>
    </r>
    <r>
      <rPr>
        <b/>
        <sz val="9"/>
        <color rgb="FF000000"/>
        <rFont val="Calibri"/>
        <family val="2"/>
      </rPr>
      <t>energía</t>
    </r>
    <r>
      <rPr>
        <sz val="9"/>
        <color rgb="FF000000"/>
        <rFont val="Calibri"/>
        <family val="2"/>
      </rPr>
      <t xml:space="preserve">. Hasta 0€ en energía
· </t>
    </r>
    <r>
      <rPr>
        <b/>
        <sz val="9"/>
        <color rgb="FF000000"/>
        <rFont val="Calibri"/>
        <family val="2"/>
      </rPr>
      <t>zerofactura</t>
    </r>
    <r>
      <rPr>
        <sz val="9"/>
        <color rgb="FF000000"/>
        <rFont val="Calibri"/>
        <family val="2"/>
      </rPr>
      <t>: Hasta 0€ en factura</t>
    </r>
  </si>
  <si>
    <t>nocomp</t>
  </si>
  <si>
    <t>zerofactura</t>
  </si>
  <si>
    <t>legal</t>
  </si>
  <si>
    <t>energía</t>
  </si>
  <si>
    <t>TOTAL BRUTO</t>
  </si>
  <si>
    <t>Batería virtual, (NO o coste €/día)</t>
  </si>
  <si>
    <t xml:space="preserve">Último cambio observado. </t>
  </si>
  <si>
    <t>Puedes comprobar como sería tu factura PVPC en:</t>
  </si>
  <si>
    <t>IVA</t>
  </si>
  <si>
    <t>Nota importante</t>
  </si>
  <si>
    <t>Cubre hasta aquí esta columna si quieres comprobar alguna tarifa que no esté en el excel</t>
  </si>
  <si>
    <r>
      <rPr>
        <sz val="7"/>
        <color rgb="FFFF0000"/>
        <rFont val="Calibri"/>
      </rPr>
      <t>* Precio kWh estimativo</t>
    </r>
    <r>
      <rPr>
        <sz val="7"/>
        <color rgb="FF000000"/>
        <rFont val="Calibri"/>
      </rPr>
      <t>. Es facil obtener media de 0,11</t>
    </r>
  </si>
  <si>
    <r>
      <rPr>
        <sz val="9"/>
        <color rgb="FFFF0000"/>
        <rFont val="Calibri"/>
      </rPr>
      <t xml:space="preserve">Quejas por </t>
    </r>
    <r>
      <rPr>
        <b/>
        <sz val="9"/>
        <color rgb="FFFF0000"/>
        <rFont val="Calibri"/>
      </rPr>
      <t xml:space="preserve">Lentitud </t>
    </r>
    <r>
      <rPr>
        <sz val="9"/>
        <color rgb="FFFF0000"/>
        <rFont val="Calibri"/>
      </rPr>
      <t>(+30 dias)</t>
    </r>
  </si>
  <si>
    <t xml:space="preserve">Σxcedente Horario * (OMIE - 0,005 €/KWh) </t>
  </si>
  <si>
    <t>Nuevos clientes</t>
  </si>
  <si>
    <t>Excedentes a 0,03€kWh con Solar Cloud</t>
  </si>
  <si>
    <t>excedentes en todas las tarifas</t>
  </si>
  <si>
    <t>nuevos clientes / clientes actuales. Dcto. 10% nuevas contrataciones</t>
  </si>
  <si>
    <t>Nuevos clientes / Recuerda activar el D+ / 5€ - 6 meses</t>
  </si>
  <si>
    <t>D</t>
  </si>
  <si>
    <t>https://comparador.cnmc.gob.es/facturaluz/inicio</t>
  </si>
  <si>
    <t>TOTAL NETO  DE TU FACTURA PVPC</t>
  </si>
  <si>
    <t>Nota</t>
  </si>
  <si>
    <t>Admite referidos 50€</t>
  </si>
  <si>
    <t>Se supone que compensa BV antes de impuestos</t>
  </si>
  <si>
    <t>Si se excede un ratio de 750kWh anuales por cada kW potencia, rechazan</t>
  </si>
  <si>
    <t>Tiene referidos aunque sólo dan €€ al antiguo en la compañía y nada al nuevo</t>
  </si>
  <si>
    <t>Pot&gt;10kW permanencia</t>
  </si>
  <si>
    <t>Ya aviso ahora: el TOTAL de FACTURA ya tiene quitado la oferta de 5€ (6 meses)</t>
  </si>
  <si>
    <t>no hace falta coche eléctrico. Cualquier tarifa del excel vale y renta para coche electrico</t>
  </si>
  <si>
    <t>indican consumo límite? Podría ser motivo de rechazo, pero no tiene penalizaciones</t>
  </si>
  <si>
    <t>¿permite referidos/planes amigo?</t>
  </si>
  <si>
    <t>cálculos</t>
  </si>
  <si>
    <r>
      <rPr>
        <b/>
        <sz val="8"/>
        <color theme="1"/>
        <rFont val="Calibri"/>
        <family val="2"/>
      </rPr>
      <t xml:space="preserve">CALCULA TU SUMINISTRO. </t>
    </r>
    <r>
      <rPr>
        <sz val="8"/>
        <color theme="1"/>
        <rFont val="Calibri"/>
        <family val="2"/>
      </rPr>
      <t xml:space="preserve">
Si no sabes consumos, deja por defecto,son una media nacional
Si domicilios cerrados, consumo 0</t>
    </r>
  </si>
  <si>
    <t>datos</t>
  </si>
  <si>
    <t>Potencia Punta (kW) P1</t>
  </si>
  <si>
    <t>Potencia Llano &amp; Punta (kW) P1</t>
  </si>
  <si>
    <t>Potencia Valle (kW) P2</t>
  </si>
  <si>
    <r>
      <t xml:space="preserve">Revisa las </t>
    </r>
    <r>
      <rPr>
        <b/>
        <i/>
        <sz val="8"/>
        <color theme="1"/>
        <rFont val="Calibri"/>
        <family val="2"/>
      </rPr>
      <t>lecturas</t>
    </r>
    <r>
      <rPr>
        <i/>
        <sz val="8"/>
        <color theme="1"/>
        <rFont val="Calibri"/>
        <family val="2"/>
      </rPr>
      <t xml:space="preserve"> en apartado de tu factura</t>
    </r>
  </si>
  <si>
    <t>Energía Punta (kWh) P1</t>
  </si>
  <si>
    <t xml:space="preserve">Energía Punta (kWh) P1 </t>
  </si>
  <si>
    <t>Energía Llano (kWh) P2</t>
  </si>
  <si>
    <t>Energía Valle (kWh) P3</t>
  </si>
  <si>
    <t>Energía Valle(kWh) P3</t>
  </si>
  <si>
    <t>Consumo Total</t>
  </si>
  <si>
    <t>Excedentes FV (kWh)</t>
  </si>
  <si>
    <t xml:space="preserve">n   </t>
  </si>
  <si>
    <t>Peajes de la energía</t>
  </si>
  <si>
    <t>energía compensable(energía-peajes)</t>
  </si>
  <si>
    <t>subtotal energia compensada</t>
  </si>
  <si>
    <t>subtotal no compensado</t>
  </si>
  <si>
    <t>subtotal legal</t>
  </si>
  <si>
    <t>sbtotal energía</t>
  </si>
  <si>
    <t>subtotal sobra excedente</t>
  </si>
  <si>
    <t>Subtotal Potencia (P1+P2)</t>
  </si>
  <si>
    <t>Subtotal Energía definitivo</t>
  </si>
  <si>
    <t>Subtotal energia definitivo</t>
  </si>
  <si>
    <t>Excedentes FV sobrantes</t>
  </si>
  <si>
    <t>excedente sobrante</t>
  </si>
  <si>
    <t>Media precio energía resultante</t>
  </si>
  <si>
    <t>Media precio energía</t>
  </si>
  <si>
    <t>Financ. Bono Social (€/día)</t>
  </si>
  <si>
    <t>Impuesto Eléctrico (5,11%)</t>
  </si>
  <si>
    <t>Alquiler contador (por día)</t>
  </si>
  <si>
    <t>coste batería virtual</t>
  </si>
  <si>
    <t>Total Bruto</t>
  </si>
  <si>
    <t>IVA (21%)</t>
  </si>
  <si>
    <t>TOTAL NETO provisional</t>
  </si>
  <si>
    <t>excendente pendiente por compensar</t>
  </si>
  <si>
    <t>TOTAL FACTURA</t>
  </si>
  <si>
    <t>acumula en batería</t>
  </si>
  <si>
    <t>€ respecto a la más barata de tarifa libres. (ranking)</t>
  </si>
  <si>
    <t>LAS 3 MAS BARATAS SEGÚN LOS DATOS QUE HAS PUESTO</t>
  </si>
  <si>
    <r>
      <t xml:space="preserve">Este sería el precio de tu factura PVPC tomando la media de los últimos 12 meses. Pero ojo, los meses más caros tambien suele consumirse mas (o por calor o por frío, y son los más caros
</t>
    </r>
    <r>
      <rPr>
        <b/>
        <sz val="9"/>
        <color theme="0"/>
        <rFont val="Calibri"/>
        <family val="2"/>
      </rPr>
      <t>¿Es momento de pasar a PVPC?</t>
    </r>
    <r>
      <rPr>
        <sz val="9"/>
        <color theme="0"/>
        <rFont val="Calibri"/>
        <family val="2"/>
      </rPr>
      <t xml:space="preserve">  sigue siendo apuesta personal, lleva un tiempo con precio bastante estable, con su fluctuación, meses de viento y lluvia, temperaturas suaves es barato, como cualquier indexada indexada. A PVPC le penaliza ahora que para darle menos fluctuación, parte del precio se hace con futuros, que suelen encarecer respecto a indexada pura. </t>
    </r>
    <r>
      <rPr>
        <b/>
        <sz val="9"/>
        <color theme="0"/>
        <rFont val="Calibri"/>
        <family val="2"/>
      </rPr>
      <t>PVPC con Bono Social, recomendable sin duda</t>
    </r>
  </si>
  <si>
    <t>Nuevos clientes / clientes actuales. Aparentemente el descuento del 10% solo nuevas contrataciones</t>
  </si>
  <si>
    <t>Página WEB</t>
  </si>
  <si>
    <t xml:space="preserve"> ENLACES EN PRIMERA PAGINA DE LA PLATAFORMA -ATENCION AL NOMBRE EXACTO DE LA TARIFA -- ENLACES EN PRIMERA PAGINA DE LA PLATAFORMA</t>
  </si>
  <si>
    <t>Luz 3 periodos</t>
  </si>
  <si>
    <t>Precios sin impuestos SIEMPRE, facturas CON impuestos</t>
  </si>
  <si>
    <r>
      <rPr>
        <b/>
        <i/>
        <sz val="9"/>
        <color theme="1"/>
        <rFont val="Calibri"/>
        <family val="2"/>
      </rPr>
      <t>OJO</t>
    </r>
    <r>
      <rPr>
        <b/>
        <sz val="9"/>
        <color theme="1"/>
        <rFont val="Calibri"/>
        <family val="2"/>
      </rPr>
      <t xml:space="preserve">
· Tarifas actuales. Tarifas pasada, otros precios.
· Atención a los enlaces. Algunas tienen link especial
· fijaos en la tarifa, que la compañía tiene muchas tarifas</t>
    </r>
  </si>
  <si>
    <t xml:space="preserve">Σxcedente Horario * OMIE. </t>
  </si>
  <si>
    <t>###  No se aconseja debido al conflicto de Irán ###</t>
  </si>
</sst>
</file>

<file path=xl/styles.xml><?xml version="1.0" encoding="utf-8"?>
<styleSheet xmlns="http://schemas.openxmlformats.org/spreadsheetml/2006/main" xmlns:mc="http://schemas.openxmlformats.org/markup-compatibility/2006" xmlns:x14ac="http://schemas.microsoft.com/office/spreadsheetml/2009/9/ac" mc:Ignorable="x14ac">
  <numFmts count="36">
    <numFmt numFmtId="44" formatCode="_-* #,##0.00\ &quot;€&quot;_-;\-* #,##0.00\ &quot;€&quot;_-;_-* &quot;-&quot;??\ &quot;€&quot;_-;_-@_-"/>
    <numFmt numFmtId="164" formatCode="_-* #,##0.00\ &quot;€&quot;_-;\-* #,##0.00\ &quot;€&quot;_-;_-* &quot;-&quot;??\ &quot;€&quot;_-;_-@"/>
    <numFmt numFmtId="165" formatCode="#,##0.0000\ [$€-1]"/>
    <numFmt numFmtId="166" formatCode="0.00000"/>
    <numFmt numFmtId="167" formatCode="#,##0.00\ [$€-1]"/>
    <numFmt numFmtId="168" formatCode="_-* #,##0.0000\ &quot;€&quot;_-;\-* #,##0.0000\ &quot;€&quot;_-;_-* &quot;-&quot;??\ &quot;€&quot;_-;_-@"/>
    <numFmt numFmtId="169" formatCode="d/m/yyyy"/>
    <numFmt numFmtId="170" formatCode="#,##0.000000\ &quot;€&quot;"/>
    <numFmt numFmtId="171" formatCode="0.000&quot; €/kWh&quot;"/>
    <numFmt numFmtId="172" formatCode="0.000\ &quot;€/kWh&quot;"/>
    <numFmt numFmtId="173" formatCode="_-* #,##0.0000\ &quot;€&quot;_-;\-* #,##0.0000\ &quot;€&quot;_-;_-* &quot;-&quot;??\ &quot;€&quot;_-;_-@_-"/>
    <numFmt numFmtId="174" formatCode="_-* #,##0.000000\ &quot;€&quot;_-;\-* #,##0.000000\ &quot;€&quot;_-;_-* &quot;-&quot;??\ &quot;€&quot;_-;_-@"/>
    <numFmt numFmtId="175" formatCode="#,##0.0000\ &quot;€&quot;"/>
    <numFmt numFmtId="176" formatCode="#0.00\ &quot;kW&quot;"/>
    <numFmt numFmtId="177" formatCode="#,##0&quot; kWh&quot;"/>
    <numFmt numFmtId="178" formatCode="[$-C0A]d\-mmm;@"/>
    <numFmt numFmtId="179" formatCode="0.000;\-0.000;&quot; opcional&quot;;@"/>
    <numFmt numFmtId="180" formatCode="0.000;\-0.000;&quot; sin coste&quot;;@"/>
    <numFmt numFmtId="181" formatCode="00\ &quot;kW&quot;"/>
    <numFmt numFmtId="182" formatCode="##\ &quot;meses&quot;"/>
    <numFmt numFmtId="183" formatCode="0.0000;\-0.0000;&quot;&quot;;&quot;&quot;"/>
    <numFmt numFmtId="184" formatCode="0.0000;\-0.0000;&quot;necesario&quot;;&quot;necesario&quot;"/>
    <numFmt numFmtId="185" formatCode="&quot;Media PVPC 30 días &quot;0.0000&quot; €/kWh&quot;"/>
    <numFmt numFmtId="186" formatCode="&quot;Media PVPC 12meses &quot;0.000&quot; €/kWh&quot;"/>
    <numFmt numFmtId="187" formatCode="_-* #,##0.00000\ &quot;€&quot;_-;\-* #,##0.00000\ &quot;€&quot;_-;_-* &quot;-&quot;??\ &quot;€&quot;_-;_-@"/>
    <numFmt numFmtId="188" formatCode="#,##0.000"/>
    <numFmt numFmtId="189" formatCode="_-* #,##0.000000\ &quot;€&quot;_-;\-* #,##0.000000\ &quot;€&quot;_-;_-* &quot;-&quot;??\ &quot;€&quot;_-;_-@_-"/>
    <numFmt numFmtId="190" formatCode="##\ &quot;kW&quot;"/>
    <numFmt numFmtId="191" formatCode="#,##0.000\ &quot;€&quot;"/>
    <numFmt numFmtId="192" formatCode="[$-F800]dddd\,\ mmmm\ dd\,\ yyyy"/>
    <numFmt numFmtId="193" formatCode="_-* #,##0.000\ &quot;€&quot;_-;\-* #,##0.000\ &quot;€&quot;_-;_-* &quot;-&quot;??\ &quot;€&quot;_-;_-@_-"/>
    <numFmt numFmtId="194" formatCode="#,##0.00\ &quot;€&quot;"/>
    <numFmt numFmtId="195" formatCode="_-* #,##0.00000\ &quot;€&quot;_-;\-* #,##0.00000\ &quot;€&quot;_-;_-* &quot;-&quot;??\ &quot;€&quot;_-;_-@_-"/>
    <numFmt numFmtId="196" formatCode="#,##0\ &quot;kWh&quot;"/>
    <numFmt numFmtId="197" formatCode="#,##0\ &quot;kWh/kW &quot;"/>
    <numFmt numFmtId="198" formatCode="#,##0.00000\ &quot;€&quot;;[Red]\-#,##0.00000\ &quot;€&quot;"/>
  </numFmts>
  <fonts count="79" x14ac:knownFonts="1">
    <font>
      <sz val="10"/>
      <color rgb="FF000000"/>
      <name val="Arial"/>
      <scheme val="minor"/>
    </font>
    <font>
      <sz val="10"/>
      <color rgb="FF000000"/>
      <name val="Arial"/>
      <family val="2"/>
    </font>
    <font>
      <b/>
      <sz val="10"/>
      <color theme="1"/>
      <name val="Arial"/>
      <family val="2"/>
    </font>
    <font>
      <sz val="10"/>
      <color theme="1"/>
      <name val="Arial"/>
      <family val="2"/>
    </font>
    <font>
      <i/>
      <sz val="10"/>
      <color theme="1"/>
      <name val="Arial"/>
      <family val="2"/>
    </font>
    <font>
      <sz val="9"/>
      <color theme="1"/>
      <name val="Arial"/>
      <family val="2"/>
    </font>
    <font>
      <sz val="11"/>
      <color rgb="FF000000"/>
      <name val="Arial"/>
      <family val="2"/>
    </font>
    <font>
      <sz val="11"/>
      <color theme="1"/>
      <name val="Arial"/>
      <family val="2"/>
    </font>
    <font>
      <sz val="10"/>
      <color theme="0"/>
      <name val="Arial"/>
      <family val="2"/>
    </font>
    <font>
      <sz val="8"/>
      <color theme="1"/>
      <name val="Arial"/>
      <family val="2"/>
    </font>
    <font>
      <sz val="11"/>
      <color rgb="FF006100"/>
      <name val="Arial"/>
      <family val="2"/>
      <scheme val="minor"/>
    </font>
    <font>
      <sz val="10"/>
      <color rgb="FF000000"/>
      <name val="Arial"/>
      <family val="2"/>
      <scheme val="minor"/>
    </font>
    <font>
      <sz val="10"/>
      <color rgb="FF000000"/>
      <name val="Arial"/>
      <family val="2"/>
      <scheme val="minor"/>
    </font>
    <font>
      <sz val="8"/>
      <color rgb="FF000000"/>
      <name val="Arial"/>
      <family val="2"/>
    </font>
    <font>
      <sz val="10"/>
      <color rgb="FF000000"/>
      <name val="Arial"/>
      <family val="2"/>
      <scheme val="minor"/>
    </font>
    <font>
      <b/>
      <sz val="10"/>
      <color theme="5" tint="-0.249977111117893"/>
      <name val="Arial"/>
      <family val="2"/>
      <scheme val="minor"/>
    </font>
    <font>
      <b/>
      <sz val="11"/>
      <color theme="3"/>
      <name val="Arial"/>
      <family val="2"/>
      <scheme val="minor"/>
    </font>
    <font>
      <u/>
      <sz val="10"/>
      <color theme="10"/>
      <name val="Arial"/>
      <family val="2"/>
      <scheme val="minor"/>
    </font>
    <font>
      <u/>
      <sz val="10"/>
      <color theme="10"/>
      <name val="Arial"/>
      <family val="2"/>
      <scheme val="minor"/>
    </font>
    <font>
      <sz val="14"/>
      <color rgb="FF000000"/>
      <name val="Arial"/>
      <family val="2"/>
    </font>
    <font>
      <sz val="9"/>
      <color indexed="81"/>
      <name val="Tahoma"/>
      <family val="2"/>
    </font>
    <font>
      <b/>
      <sz val="9"/>
      <color indexed="81"/>
      <name val="Tahoma"/>
      <family val="2"/>
    </font>
    <font>
      <sz val="10"/>
      <color rgb="FF000000"/>
      <name val="Calibri"/>
      <family val="2"/>
    </font>
    <font>
      <sz val="28"/>
      <color rgb="FF000000"/>
      <name val="Calibri"/>
      <family val="2"/>
    </font>
    <font>
      <b/>
      <sz val="10"/>
      <color theme="1"/>
      <name val="Calibri"/>
      <family val="2"/>
    </font>
    <font>
      <b/>
      <sz val="8"/>
      <color theme="1"/>
      <name val="Calibri"/>
      <family val="2"/>
    </font>
    <font>
      <b/>
      <i/>
      <sz val="10"/>
      <color theme="1"/>
      <name val="Calibri"/>
      <family val="2"/>
    </font>
    <font>
      <sz val="10"/>
      <color theme="1"/>
      <name val="Calibri"/>
      <family val="2"/>
    </font>
    <font>
      <b/>
      <sz val="10"/>
      <color rgb="FF000000"/>
      <name val="Calibri"/>
      <family val="2"/>
    </font>
    <font>
      <i/>
      <sz val="10"/>
      <color rgb="FF7030A0"/>
      <name val="Calibri"/>
      <family val="2"/>
    </font>
    <font>
      <i/>
      <sz val="10"/>
      <color theme="1"/>
      <name val="Calibri"/>
      <family val="2"/>
    </font>
    <font>
      <sz val="9"/>
      <color rgb="FF000000"/>
      <name val="Calibri"/>
      <family val="2"/>
    </font>
    <font>
      <sz val="9"/>
      <color theme="1"/>
      <name val="Calibri"/>
      <family val="2"/>
    </font>
    <font>
      <b/>
      <sz val="9"/>
      <color rgb="FF000000"/>
      <name val="Calibri"/>
      <family val="2"/>
    </font>
    <font>
      <u/>
      <sz val="10"/>
      <color theme="10"/>
      <name val="Calibri"/>
      <family val="2"/>
    </font>
    <font>
      <sz val="48"/>
      <color rgb="FF000000"/>
      <name val="Calibri"/>
      <family val="2"/>
    </font>
    <font>
      <sz val="8"/>
      <color theme="1"/>
      <name val="Calibri"/>
      <family val="2"/>
    </font>
    <font>
      <i/>
      <sz val="8"/>
      <color theme="1"/>
      <name val="Calibri"/>
      <family val="2"/>
    </font>
    <font>
      <b/>
      <i/>
      <sz val="8"/>
      <color theme="1"/>
      <name val="Calibri"/>
      <family val="2"/>
    </font>
    <font>
      <b/>
      <sz val="11"/>
      <color theme="1"/>
      <name val="Calibri"/>
      <family val="2"/>
    </font>
    <font>
      <sz val="11"/>
      <color indexed="81"/>
      <name val="Tahoma"/>
      <family val="2"/>
    </font>
    <font>
      <b/>
      <sz val="11"/>
      <color indexed="81"/>
      <name val="Tahoma"/>
      <family val="2"/>
    </font>
    <font>
      <u/>
      <sz val="9"/>
      <color indexed="81"/>
      <name val="Tahoma"/>
      <family val="2"/>
    </font>
    <font>
      <sz val="11"/>
      <color rgb="FF000000"/>
      <name val="Calibri"/>
      <family val="2"/>
    </font>
    <font>
      <b/>
      <sz val="12"/>
      <color theme="1"/>
      <name val="Calibri"/>
      <family val="2"/>
    </font>
    <font>
      <b/>
      <sz val="14"/>
      <color rgb="FFFF0000"/>
      <name val="Calibri"/>
      <family val="2"/>
    </font>
    <font>
      <b/>
      <sz val="12"/>
      <color rgb="FF000000"/>
      <name val="Calibri"/>
      <family val="2"/>
    </font>
    <font>
      <sz val="10"/>
      <color theme="0"/>
      <name val="Calibri"/>
      <family val="2"/>
    </font>
    <font>
      <b/>
      <sz val="7"/>
      <color theme="1"/>
      <name val="Calibri"/>
      <family val="2"/>
    </font>
    <font>
      <b/>
      <sz val="10"/>
      <color theme="0"/>
      <name val="Calibri"/>
      <family val="2"/>
    </font>
    <font>
      <sz val="9"/>
      <color theme="0"/>
      <name val="Calibri"/>
      <family val="2"/>
    </font>
    <font>
      <b/>
      <sz val="9"/>
      <color theme="0"/>
      <name val="Calibri"/>
      <family val="2"/>
    </font>
    <font>
      <sz val="12"/>
      <color rgb="FF000000"/>
      <name val="Calibri"/>
      <family val="2"/>
    </font>
    <font>
      <b/>
      <sz val="9"/>
      <color theme="1"/>
      <name val="Calibri"/>
      <family val="2"/>
    </font>
    <font>
      <b/>
      <i/>
      <sz val="9"/>
      <color theme="1"/>
      <name val="Calibri"/>
      <family val="2"/>
    </font>
    <font>
      <i/>
      <sz val="9"/>
      <color rgb="FF7030A0"/>
      <name val="Calibri"/>
      <family val="2"/>
    </font>
    <font>
      <b/>
      <i/>
      <sz val="10"/>
      <color rgb="FF7030A0"/>
      <name val="Calibri"/>
      <family val="2"/>
    </font>
    <font>
      <b/>
      <i/>
      <sz val="12"/>
      <color rgb="FF000000"/>
      <name val="Calibri"/>
      <family val="2"/>
    </font>
    <font>
      <b/>
      <sz val="10"/>
      <color theme="8" tint="-0.499984740745262"/>
      <name val="Calibri"/>
      <family val="2"/>
    </font>
    <font>
      <b/>
      <sz val="10"/>
      <color theme="6" tint="-0.249977111117893"/>
      <name val="Calibri"/>
      <family val="2"/>
    </font>
    <font>
      <b/>
      <sz val="9"/>
      <color rgb="FFD60000"/>
      <name val="Calibri"/>
      <family val="2"/>
    </font>
    <font>
      <sz val="8"/>
      <color rgb="FFFF0000"/>
      <name val="Calibri"/>
      <family val="2"/>
    </font>
    <font>
      <sz val="8"/>
      <color rgb="FF000000"/>
      <name val="Calibri"/>
      <family val="2"/>
    </font>
    <font>
      <b/>
      <sz val="14"/>
      <color theme="1"/>
      <name val="Calibri"/>
      <family val="2"/>
    </font>
    <font>
      <u/>
      <sz val="10"/>
      <color theme="1" tint="4.9989318521683403E-2"/>
      <name val="Calibri"/>
      <family val="2"/>
    </font>
    <font>
      <sz val="8"/>
      <color rgb="FF006100"/>
      <name val="Calibri"/>
      <family val="2"/>
    </font>
    <font>
      <sz val="14"/>
      <color theme="4" tint="-0.499984740745262"/>
      <name val="Calibri"/>
      <family val="2"/>
    </font>
    <font>
      <sz val="7"/>
      <color rgb="FFFF0000"/>
      <name val="Calibri"/>
    </font>
    <font>
      <sz val="7"/>
      <color rgb="FF000000"/>
      <name val="Calibri"/>
    </font>
    <font>
      <sz val="10"/>
      <color rgb="FFFF0000"/>
      <name val="Calibri"/>
      <family val="2"/>
    </font>
    <font>
      <b/>
      <sz val="14"/>
      <color theme="4"/>
      <name val="Arial"/>
      <family val="2"/>
    </font>
    <font>
      <b/>
      <sz val="12"/>
      <color theme="0"/>
      <name val="Arial"/>
      <family val="2"/>
    </font>
    <font>
      <b/>
      <sz val="10"/>
      <color theme="1"/>
      <name val="Arial"/>
      <family val="2"/>
      <scheme val="minor"/>
    </font>
    <font>
      <b/>
      <u/>
      <sz val="10"/>
      <color theme="10"/>
      <name val="Arial"/>
      <family val="2"/>
      <scheme val="minor"/>
    </font>
    <font>
      <b/>
      <sz val="8"/>
      <color rgb="FF000000"/>
      <name val="Calibri"/>
      <family val="2"/>
    </font>
    <font>
      <b/>
      <sz val="9"/>
      <color rgb="FFFF0000"/>
      <name val="Calibri"/>
    </font>
    <font>
      <sz val="9"/>
      <color rgb="FFFF0000"/>
      <name val="Calibri"/>
    </font>
    <font>
      <b/>
      <i/>
      <sz val="16"/>
      <color theme="1"/>
      <name val="Calibri"/>
      <family val="2"/>
    </font>
    <font>
      <b/>
      <sz val="16"/>
      <color theme="1"/>
      <name val="Calibri"/>
      <family val="2"/>
    </font>
  </fonts>
  <fills count="67">
    <fill>
      <patternFill patternType="none"/>
    </fill>
    <fill>
      <patternFill patternType="gray125"/>
    </fill>
    <fill>
      <patternFill patternType="solid">
        <fgColor rgb="FFA6E3B6"/>
        <bgColor rgb="FFA6E3B6"/>
      </patternFill>
    </fill>
    <fill>
      <patternFill patternType="solid">
        <fgColor rgb="FFD2F1DA"/>
        <bgColor rgb="FFD2F1DA"/>
      </patternFill>
    </fill>
    <fill>
      <patternFill patternType="solid">
        <fgColor rgb="FFC6EFCE"/>
      </patternFill>
    </fill>
    <fill>
      <patternFill patternType="solid">
        <fgColor rgb="FFFFC000"/>
        <bgColor rgb="FFA6E3B6"/>
      </patternFill>
    </fill>
    <fill>
      <patternFill patternType="solid">
        <fgColor theme="0" tint="-0.14999847407452621"/>
        <bgColor rgb="FFD8D8D8"/>
      </patternFill>
    </fill>
    <fill>
      <patternFill patternType="solid">
        <fgColor theme="0" tint="-0.14999847407452621"/>
        <bgColor rgb="FFA6E3B6"/>
      </patternFill>
    </fill>
    <fill>
      <patternFill patternType="solid">
        <fgColor theme="0" tint="-0.14999847407452621"/>
        <bgColor indexed="64"/>
      </patternFill>
    </fill>
    <fill>
      <patternFill patternType="solid">
        <fgColor rgb="FFFFCC0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C000"/>
        <bgColor rgb="FFBFBFBF"/>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rgb="FF00B0F0"/>
      </patternFill>
    </fill>
    <fill>
      <patternFill patternType="solid">
        <fgColor theme="0" tint="-4.9989318521683403E-2"/>
        <bgColor rgb="FFBFBFBF"/>
      </patternFill>
    </fill>
    <fill>
      <patternFill patternType="solid">
        <fgColor theme="0" tint="-0.249977111117893"/>
        <bgColor rgb="FFBFBFBF"/>
      </patternFill>
    </fill>
    <fill>
      <patternFill patternType="solid">
        <fgColor theme="5" tint="0.79998168889431442"/>
        <bgColor indexed="64"/>
      </patternFill>
    </fill>
    <fill>
      <patternFill patternType="solid">
        <fgColor rgb="FFF6FDB1"/>
        <bgColor indexed="64"/>
      </patternFill>
    </fill>
    <fill>
      <patternFill patternType="solid">
        <fgColor theme="2" tint="-4.9989318521683403E-2"/>
        <bgColor indexed="64"/>
      </patternFill>
    </fill>
    <fill>
      <patternFill patternType="solid">
        <fgColor theme="2" tint="-4.9989318521683403E-2"/>
        <bgColor rgb="FF00B0F0"/>
      </patternFill>
    </fill>
    <fill>
      <patternFill patternType="solid">
        <fgColor theme="0" tint="-0.14999847407452621"/>
        <bgColor rgb="FFBFBFBF"/>
      </patternFill>
    </fill>
    <fill>
      <patternFill patternType="solid">
        <fgColor rgb="FFFFFF00"/>
        <bgColor indexed="64"/>
      </patternFill>
    </fill>
    <fill>
      <patternFill patternType="solid">
        <fgColor theme="7" tint="0.59999389629810485"/>
        <bgColor rgb="FFA6E3B6"/>
      </patternFill>
    </fill>
    <fill>
      <patternFill patternType="solid">
        <fgColor theme="7" tint="0.39997558519241921"/>
        <bgColor rgb="FFA6E3B6"/>
      </patternFill>
    </fill>
    <fill>
      <patternFill patternType="solid">
        <fgColor rgb="FFEBF9EF"/>
        <bgColor rgb="FFFFC000"/>
      </patternFill>
    </fill>
    <fill>
      <patternFill patternType="solid">
        <fgColor rgb="FFE5F7EA"/>
        <bgColor rgb="FFA6E3B6"/>
      </patternFill>
    </fill>
    <fill>
      <patternFill patternType="solid">
        <fgColor rgb="FFE5F7EA"/>
        <bgColor rgb="FFFFC000"/>
      </patternFill>
    </fill>
    <fill>
      <patternFill patternType="solid">
        <fgColor theme="0"/>
        <bgColor rgb="FFBFBFBF"/>
      </patternFill>
    </fill>
    <fill>
      <patternFill patternType="solid">
        <fgColor rgb="FFFFE593"/>
        <bgColor indexed="64"/>
      </patternFill>
    </fill>
    <fill>
      <patternFill patternType="solid">
        <fgColor rgb="FFF0F0F0"/>
        <bgColor indexed="64"/>
      </patternFill>
    </fill>
    <fill>
      <patternFill patternType="solid">
        <fgColor rgb="FFDCF4E3"/>
        <bgColor rgb="FFA5A5A5"/>
      </patternFill>
    </fill>
    <fill>
      <patternFill patternType="solid">
        <fgColor rgb="FFDCF4E3"/>
        <bgColor rgb="FFA6E3B6"/>
      </patternFill>
    </fill>
    <fill>
      <patternFill patternType="solid">
        <fgColor rgb="FFDCF4E3"/>
        <bgColor rgb="FFD8D8D8"/>
      </patternFill>
    </fill>
    <fill>
      <patternFill patternType="solid">
        <fgColor rgb="FFDCF4E3"/>
        <bgColor rgb="FFD2F1DA"/>
      </patternFill>
    </fill>
    <fill>
      <patternFill patternType="solid">
        <fgColor rgb="FF00B0F0"/>
        <bgColor rgb="FF00B0F0"/>
      </patternFill>
    </fill>
    <fill>
      <patternFill patternType="solid">
        <fgColor theme="7" tint="0.39997558519241921"/>
        <bgColor rgb="FFBFBFBF"/>
      </patternFill>
    </fill>
    <fill>
      <patternFill patternType="solid">
        <fgColor theme="7" tint="0.39997558519241921"/>
        <bgColor indexed="64"/>
      </patternFill>
    </fill>
    <fill>
      <patternFill patternType="solid">
        <fgColor theme="7" tint="0.39997558519241921"/>
        <bgColor rgb="FFD8D8D8"/>
      </patternFill>
    </fill>
    <fill>
      <patternFill patternType="solid">
        <fgColor theme="7" tint="0.39997558519241921"/>
        <bgColor rgb="FFD2F1DA"/>
      </patternFill>
    </fill>
    <fill>
      <patternFill patternType="solid">
        <fgColor theme="7" tint="0.39997558519241921"/>
        <bgColor rgb="FFA5A5A5"/>
      </patternFill>
    </fill>
    <fill>
      <patternFill patternType="solid">
        <fgColor rgb="FF00B0F0"/>
        <bgColor indexed="64"/>
      </patternFill>
    </fill>
    <fill>
      <patternFill patternType="solid">
        <fgColor rgb="FF00B0F0"/>
        <bgColor rgb="FFD8D8D8"/>
      </patternFill>
    </fill>
    <fill>
      <patternFill patternType="solid">
        <fgColor theme="6" tint="0.39997558519241921"/>
        <bgColor rgb="FFFFC000"/>
      </patternFill>
    </fill>
    <fill>
      <patternFill patternType="solid">
        <fgColor theme="6" tint="0.39997558519241921"/>
        <bgColor indexed="64"/>
      </patternFill>
    </fill>
    <fill>
      <patternFill patternType="solid">
        <fgColor theme="7" tint="0.79998168889431442"/>
        <bgColor indexed="64"/>
      </patternFill>
    </fill>
    <fill>
      <patternFill patternType="solid">
        <fgColor theme="7" tint="0.79998168889431442"/>
        <bgColor rgb="FFD8D8D8"/>
      </patternFill>
    </fill>
    <fill>
      <patternFill patternType="solid">
        <fgColor theme="7" tint="0.79998168889431442"/>
        <bgColor rgb="FFD2F1DA"/>
      </patternFill>
    </fill>
    <fill>
      <patternFill patternType="solid">
        <fgColor theme="7" tint="0.59999389629810485"/>
        <bgColor rgb="FFD2F1DA"/>
      </patternFill>
    </fill>
    <fill>
      <patternFill patternType="solid">
        <fgColor rgb="FF7FCAFD"/>
        <bgColor rgb="FF00B0F0"/>
      </patternFill>
    </fill>
    <fill>
      <patternFill patternType="solid">
        <fgColor theme="7" tint="0.79998168889431442"/>
        <bgColor rgb="FFA6E3B6"/>
      </patternFill>
    </fill>
    <fill>
      <patternFill patternType="solid">
        <fgColor theme="7" tint="0.79998168889431442"/>
        <bgColor rgb="FFBFBFBF"/>
      </patternFill>
    </fill>
    <fill>
      <patternFill patternType="solid">
        <fgColor theme="7" tint="0.79998168889431442"/>
        <bgColor indexed="65"/>
      </patternFill>
    </fill>
    <fill>
      <patternFill patternType="solid">
        <fgColor rgb="FF00B0F0"/>
        <bgColor rgb="FFA6E3B6"/>
      </patternFill>
    </fill>
    <fill>
      <patternFill patternType="solid">
        <fgColor theme="5" tint="0.39997558519241921"/>
        <bgColor rgb="FFBFBFBF"/>
      </patternFill>
    </fill>
    <fill>
      <patternFill patternType="solid">
        <fgColor theme="5" tint="0.39997558519241921"/>
        <bgColor indexed="64"/>
      </patternFill>
    </fill>
    <fill>
      <patternFill patternType="solid">
        <fgColor theme="7" tint="0.39997558519241921"/>
        <bgColor rgb="FF7AD592"/>
      </patternFill>
    </fill>
    <fill>
      <patternFill patternType="solid">
        <fgColor theme="7" tint="0.59999389629810485"/>
        <bgColor rgb="FF7AD592"/>
      </patternFill>
    </fill>
    <fill>
      <patternFill patternType="solid">
        <fgColor theme="7" tint="0.79998168889431442"/>
        <bgColor rgb="FFA5A5A5"/>
      </patternFill>
    </fill>
    <fill>
      <patternFill patternType="solid">
        <fgColor theme="0" tint="-0.499984740745262"/>
        <bgColor indexed="64"/>
      </patternFill>
    </fill>
    <fill>
      <patternFill patternType="solid">
        <fgColor theme="5" tint="0.59999389629810485"/>
        <bgColor rgb="FF00B0F0"/>
      </patternFill>
    </fill>
    <fill>
      <patternFill patternType="solid">
        <fgColor rgb="FFFFFF9F"/>
        <bgColor indexed="64"/>
      </patternFill>
    </fill>
    <fill>
      <gradientFill degree="90">
        <stop position="0">
          <color rgb="FF00FFFF"/>
        </stop>
        <stop position="1">
          <color theme="7" tint="0.40000610370189521"/>
        </stop>
      </gradientFill>
    </fill>
    <fill>
      <patternFill patternType="solid">
        <fgColor theme="4"/>
        <bgColor indexed="64"/>
      </patternFill>
    </fill>
    <fill>
      <patternFill patternType="solid">
        <fgColor theme="4" tint="0.39997558519241921"/>
        <bgColor indexed="64"/>
      </patternFill>
    </fill>
    <fill>
      <patternFill patternType="solid">
        <fgColor rgb="FF7AD694"/>
        <bgColor rgb="FFA5A5A5"/>
      </patternFill>
    </fill>
  </fills>
  <borders count="15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dotted">
        <color rgb="FF000000"/>
      </bottom>
      <diagonal/>
    </border>
    <border>
      <left/>
      <right/>
      <top style="medium">
        <color rgb="FF000000"/>
      </top>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medium">
        <color rgb="FF000000"/>
      </right>
      <top style="thin">
        <color indexed="64"/>
      </top>
      <bottom/>
      <diagonal/>
    </border>
    <border>
      <left style="medium">
        <color rgb="FF000000"/>
      </left>
      <right/>
      <top style="medium">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uble">
        <color indexed="64"/>
      </left>
      <right style="double">
        <color indexed="64"/>
      </right>
      <top/>
      <bottom style="thin">
        <color rgb="FF000000"/>
      </bottom>
      <diagonal/>
    </border>
    <border>
      <left style="double">
        <color indexed="64"/>
      </left>
      <right style="double">
        <color indexed="64"/>
      </right>
      <top style="thin">
        <color rgb="FF000000"/>
      </top>
      <bottom style="thin">
        <color rgb="FF000000"/>
      </bottom>
      <diagonal/>
    </border>
    <border>
      <left style="double">
        <color indexed="64"/>
      </left>
      <right style="double">
        <color indexed="64"/>
      </right>
      <top style="thin">
        <color rgb="FF000000"/>
      </top>
      <bottom style="dotted">
        <color rgb="FF000000"/>
      </bottom>
      <diagonal/>
    </border>
    <border>
      <left style="double">
        <color indexed="64"/>
      </left>
      <right style="double">
        <color indexed="64"/>
      </right>
      <top/>
      <bottom style="double">
        <color indexed="64"/>
      </bottom>
      <diagonal/>
    </border>
    <border>
      <left/>
      <right style="thin">
        <color indexed="64"/>
      </right>
      <top/>
      <bottom/>
      <diagonal/>
    </border>
    <border>
      <left/>
      <right/>
      <top/>
      <bottom style="thin">
        <color rgb="FF000000"/>
      </bottom>
      <diagonal/>
    </border>
    <border>
      <left/>
      <right/>
      <top style="thin">
        <color rgb="FF000000"/>
      </top>
      <bottom/>
      <diagonal/>
    </border>
    <border>
      <left style="medium">
        <color rgb="FF000000"/>
      </left>
      <right style="medium">
        <color rgb="FF000000"/>
      </right>
      <top/>
      <bottom/>
      <diagonal/>
    </border>
    <border>
      <left style="double">
        <color indexed="64"/>
      </left>
      <right style="medium">
        <color rgb="FF000000"/>
      </right>
      <top/>
      <bottom style="thin">
        <color rgb="FF000000"/>
      </bottom>
      <diagonal/>
    </border>
    <border>
      <left style="double">
        <color indexed="64"/>
      </left>
      <right style="medium">
        <color rgb="FF000000"/>
      </right>
      <top style="thin">
        <color rgb="FF000000"/>
      </top>
      <bottom style="thin">
        <color rgb="FF000000"/>
      </bottom>
      <diagonal/>
    </border>
    <border>
      <left style="double">
        <color indexed="64"/>
      </left>
      <right style="medium">
        <color rgb="FF000000"/>
      </right>
      <top style="thin">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theme="0" tint="-0.249977111117893"/>
      </bottom>
      <diagonal/>
    </border>
    <border>
      <left/>
      <right style="thin">
        <color rgb="FF000000"/>
      </right>
      <top style="thin">
        <color theme="0" tint="-0.249977111117893"/>
      </top>
      <bottom style="thin">
        <color theme="0" tint="-0.249977111117893"/>
      </bottom>
      <diagonal/>
    </border>
    <border>
      <left/>
      <right style="thin">
        <color rgb="FF000000"/>
      </right>
      <top/>
      <bottom style="thin">
        <color theme="0" tint="-0.249977111117893"/>
      </bottom>
      <diagonal/>
    </border>
    <border>
      <left/>
      <right style="thin">
        <color theme="1"/>
      </right>
      <top style="thin">
        <color theme="0" tint="-0.249977111117893"/>
      </top>
      <bottom/>
      <diagonal/>
    </border>
    <border>
      <left style="thin">
        <color theme="0" tint="-0.249977111117893"/>
      </left>
      <right style="thin">
        <color theme="1"/>
      </right>
      <top style="thin">
        <color theme="0" tint="-0.249977111117893"/>
      </top>
      <bottom style="thin">
        <color theme="0" tint="-0.249977111117893"/>
      </bottom>
      <diagonal/>
    </border>
    <border>
      <left/>
      <right style="thin">
        <color indexed="64"/>
      </right>
      <top/>
      <bottom style="thin">
        <color theme="1"/>
      </bottom>
      <diagonal/>
    </border>
    <border>
      <left style="thin">
        <color indexed="64"/>
      </left>
      <right style="thin">
        <color indexed="64"/>
      </right>
      <top/>
      <bottom style="thin">
        <color theme="1"/>
      </bottom>
      <diagonal/>
    </border>
    <border>
      <left style="thin">
        <color theme="0" tint="-0.249977111117893"/>
      </left>
      <right style="thin">
        <color theme="1"/>
      </right>
      <top style="thin">
        <color theme="1"/>
      </top>
      <bottom style="thin">
        <color theme="0" tint="-0.249977111117893"/>
      </bottom>
      <diagonal/>
    </border>
    <border>
      <left style="thin">
        <color theme="0" tint="-0.249977111117893"/>
      </left>
      <right style="thin">
        <color theme="1"/>
      </right>
      <top/>
      <bottom/>
      <diagonal/>
    </border>
    <border>
      <left style="thin">
        <color theme="1"/>
      </left>
      <right/>
      <top/>
      <bottom style="thin">
        <color indexed="64"/>
      </bottom>
      <diagonal/>
    </border>
    <border>
      <left style="thin">
        <color theme="0" tint="-0.249977111117893"/>
      </left>
      <right style="thin">
        <color theme="1"/>
      </right>
      <top style="thin">
        <color theme="0" tint="-0.249977111117893"/>
      </top>
      <bottom style="thin">
        <color indexed="64"/>
      </bottom>
      <diagonal/>
    </border>
    <border>
      <left style="thin">
        <color theme="0" tint="-0.249977111117893"/>
      </left>
      <right style="thin">
        <color indexed="64"/>
      </right>
      <top style="thin">
        <color indexed="64"/>
      </top>
      <bottom/>
      <diagonal/>
    </border>
    <border>
      <left style="medium">
        <color rgb="FF000000"/>
      </left>
      <right/>
      <top style="thin">
        <color rgb="FF000000"/>
      </top>
      <bottom/>
      <diagonal/>
    </border>
    <border>
      <left/>
      <right style="thin">
        <color rgb="FF000000"/>
      </right>
      <top/>
      <bottom style="medium">
        <color rgb="FF000000"/>
      </bottom>
      <diagonal/>
    </border>
    <border>
      <left/>
      <right style="double">
        <color indexed="64"/>
      </right>
      <top/>
      <bottom style="thin">
        <color rgb="FF000000"/>
      </bottom>
      <diagonal/>
    </border>
    <border>
      <left/>
      <right style="double">
        <color indexed="64"/>
      </right>
      <top style="thin">
        <color rgb="FF000000"/>
      </top>
      <bottom style="thin">
        <color rgb="FF000000"/>
      </bottom>
      <diagonal/>
    </border>
    <border>
      <left/>
      <right style="double">
        <color indexed="64"/>
      </right>
      <top style="thin">
        <color indexed="64"/>
      </top>
      <bottom style="double">
        <color indexed="64"/>
      </bottom>
      <diagonal/>
    </border>
    <border>
      <left/>
      <right style="double">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rgb="FF000000"/>
      </left>
      <right style="medium">
        <color rgb="FF000000"/>
      </right>
      <top style="medium">
        <color rgb="FF000000"/>
      </top>
      <bottom/>
      <diagonal/>
    </border>
    <border>
      <left/>
      <right/>
      <top style="thin">
        <color indexed="64"/>
      </top>
      <bottom style="thin">
        <color rgb="FF000000"/>
      </bottom>
      <diagonal/>
    </border>
    <border>
      <left/>
      <right/>
      <top/>
      <bottom style="thin">
        <color theme="1"/>
      </bottom>
      <diagonal/>
    </border>
    <border>
      <left/>
      <right style="thin">
        <color theme="0" tint="-0.249977111117893"/>
      </right>
      <top/>
      <bottom/>
      <diagonal/>
    </border>
    <border>
      <left/>
      <right style="thin">
        <color theme="0" tint="-0.249977111117893"/>
      </right>
      <top style="thin">
        <color theme="1"/>
      </top>
      <bottom/>
      <diagonal/>
    </border>
    <border>
      <left/>
      <right/>
      <top style="thin">
        <color theme="1"/>
      </top>
      <bottom/>
      <diagonal/>
    </border>
    <border>
      <left/>
      <right style="thin">
        <color indexed="64"/>
      </right>
      <top style="thin">
        <color rgb="FF000000"/>
      </top>
      <bottom style="thin">
        <color indexed="64"/>
      </bottom>
      <diagonal/>
    </border>
    <border>
      <left style="thin">
        <color theme="1"/>
      </left>
      <right style="thin">
        <color theme="1"/>
      </right>
      <top style="thin">
        <color theme="1"/>
      </top>
      <bottom style="thin">
        <color theme="1"/>
      </bottom>
      <diagonal/>
    </border>
    <border>
      <left style="medium">
        <color rgb="FF000000"/>
      </left>
      <right style="thin">
        <color theme="1"/>
      </right>
      <top style="medium">
        <color rgb="FF000000"/>
      </top>
      <bottom/>
      <diagonal/>
    </border>
    <border>
      <left style="medium">
        <color rgb="FF000000"/>
      </left>
      <right style="thin">
        <color theme="1"/>
      </right>
      <top/>
      <bottom/>
      <diagonal/>
    </border>
    <border>
      <left style="thin">
        <color theme="1"/>
      </left>
      <right/>
      <top style="thin">
        <color theme="1"/>
      </top>
      <bottom style="medium">
        <color theme="1"/>
      </bottom>
      <diagonal/>
    </border>
    <border>
      <left/>
      <right style="thin">
        <color theme="1"/>
      </right>
      <top/>
      <bottom style="thin">
        <color theme="1"/>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
      <left/>
      <right style="thick">
        <color theme="1"/>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theme="1"/>
      </top>
      <bottom style="thin">
        <color theme="1"/>
      </bottom>
      <diagonal/>
    </border>
    <border>
      <left style="medium">
        <color rgb="FF000000"/>
      </left>
      <right style="medium">
        <color rgb="FF000000"/>
      </right>
      <top style="thin">
        <color theme="1"/>
      </top>
      <bottom style="medium">
        <color rgb="FF000000"/>
      </bottom>
      <diagonal/>
    </border>
    <border>
      <left style="medium">
        <color rgb="FF000000"/>
      </left>
      <right/>
      <top style="thin">
        <color indexed="64"/>
      </top>
      <bottom style="thin">
        <color indexed="64"/>
      </bottom>
      <diagonal/>
    </border>
    <border>
      <left/>
      <right/>
      <top style="thin">
        <color rgb="FF000000"/>
      </top>
      <bottom style="dotted">
        <color rgb="FF000000"/>
      </bottom>
      <diagonal/>
    </border>
    <border>
      <left/>
      <right/>
      <top style="thin">
        <color theme="1"/>
      </top>
      <bottom style="thin">
        <color theme="1"/>
      </bottom>
      <diagonal/>
    </border>
    <border>
      <left style="medium">
        <color rgb="FF000000"/>
      </left>
      <right/>
      <top style="medium">
        <color rgb="FF000000"/>
      </top>
      <bottom style="medium">
        <color rgb="FF000000"/>
      </bottom>
      <diagonal/>
    </border>
    <border>
      <left style="medium">
        <color rgb="FF000000"/>
      </left>
      <right/>
      <top style="thin">
        <color rgb="FF000000"/>
      </top>
      <bottom style="dotted">
        <color rgb="FF000000"/>
      </bottom>
      <diagonal/>
    </border>
    <border>
      <left style="medium">
        <color rgb="FF000000"/>
      </left>
      <right/>
      <top style="thin">
        <color theme="1"/>
      </top>
      <bottom style="thin">
        <color theme="1"/>
      </bottom>
      <diagonal/>
    </border>
    <border>
      <left style="medium">
        <color rgb="FF000000"/>
      </left>
      <right/>
      <top style="thin">
        <color theme="1"/>
      </top>
      <bottom style="medium">
        <color rgb="FF000000"/>
      </bottom>
      <diagonal/>
    </border>
    <border>
      <left style="medium">
        <color rgb="FF000000"/>
      </left>
      <right style="thin">
        <color theme="1"/>
      </right>
      <top style="thin">
        <color theme="1"/>
      </top>
      <bottom style="medium">
        <color rgb="FF000000"/>
      </bottom>
      <diagonal/>
    </border>
    <border>
      <left/>
      <right/>
      <top style="thin">
        <color theme="1"/>
      </top>
      <bottom style="medium">
        <color rgb="FF000000"/>
      </bottom>
      <diagonal/>
    </border>
    <border>
      <left style="medium">
        <color rgb="FF000000"/>
      </left>
      <right style="medium">
        <color rgb="FF000000"/>
      </right>
      <top style="thin">
        <color theme="1"/>
      </top>
      <bottom style="thin">
        <color rgb="FF000000"/>
      </bottom>
      <diagonal/>
    </border>
    <border>
      <left style="thin">
        <color rgb="FF000000"/>
      </left>
      <right/>
      <top style="thin">
        <color indexed="64"/>
      </top>
      <bottom style="medium">
        <color indexed="64"/>
      </bottom>
      <diagonal/>
    </border>
    <border>
      <left style="medium">
        <color rgb="FF000000"/>
      </left>
      <right style="double">
        <color indexed="64"/>
      </right>
      <top style="thin">
        <color indexed="64"/>
      </top>
      <bottom/>
      <diagonal/>
    </border>
    <border>
      <left style="medium">
        <color rgb="FF000000"/>
      </left>
      <right style="double">
        <color indexed="64"/>
      </right>
      <top/>
      <bottom/>
      <diagonal/>
    </border>
    <border>
      <left style="medium">
        <color rgb="FF000000"/>
      </left>
      <right style="double">
        <color indexed="64"/>
      </right>
      <top/>
      <bottom style="double">
        <color indexed="64"/>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thin">
        <color indexed="64"/>
      </left>
      <right/>
      <top style="thin">
        <color indexed="64"/>
      </top>
      <bottom style="medium">
        <color indexed="64"/>
      </bottom>
      <diagonal/>
    </border>
    <border>
      <left/>
      <right style="medium">
        <color rgb="FF000000"/>
      </right>
      <top style="thin">
        <color rgb="FF000000"/>
      </top>
      <bottom style="dotted">
        <color rgb="FF000000"/>
      </bottom>
      <diagonal/>
    </border>
    <border>
      <left/>
      <right style="medium">
        <color rgb="FF000000"/>
      </right>
      <top style="thin">
        <color rgb="FF000000"/>
      </top>
      <bottom/>
      <diagonal/>
    </border>
    <border>
      <left/>
      <right style="medium">
        <color rgb="FF000000"/>
      </right>
      <top style="thin">
        <color theme="1"/>
      </top>
      <bottom style="thin">
        <color theme="1"/>
      </bottom>
      <diagonal/>
    </border>
    <border>
      <left/>
      <right style="medium">
        <color rgb="FF000000"/>
      </right>
      <top style="thin">
        <color theme="1"/>
      </top>
      <bottom style="medium">
        <color rgb="FF000000"/>
      </bottom>
      <diagonal/>
    </border>
    <border>
      <left/>
      <right style="medium">
        <color rgb="FF000000"/>
      </right>
      <top style="thin">
        <color indexed="64"/>
      </top>
      <bottom/>
      <diagonal/>
    </border>
    <border>
      <left style="thin">
        <color theme="1"/>
      </left>
      <right/>
      <top style="thin">
        <color theme="1"/>
      </top>
      <bottom style="medium">
        <color rgb="FF000000"/>
      </bottom>
      <diagonal/>
    </border>
    <border>
      <left/>
      <right style="medium">
        <color rgb="FF000000"/>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right style="thin">
        <color rgb="FF000000"/>
      </right>
      <top style="thin">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dotted">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thin">
        <color theme="1"/>
      </right>
      <top style="thin">
        <color theme="1"/>
      </top>
      <bottom style="thin">
        <color rgb="FF000000"/>
      </bottom>
      <diagonal/>
    </border>
    <border>
      <left style="medium">
        <color rgb="FF000000"/>
      </left>
      <right style="medium">
        <color rgb="FF000000"/>
      </right>
      <top style="thin">
        <color indexed="64"/>
      </top>
      <bottom style="thin">
        <color rgb="FF000000"/>
      </bottom>
      <diagonal/>
    </border>
    <border>
      <left/>
      <right style="thin">
        <color indexed="64"/>
      </right>
      <top style="thin">
        <color indexed="64"/>
      </top>
      <bottom style="thin">
        <color rgb="FF000000"/>
      </bottom>
      <diagonal/>
    </border>
    <border>
      <left style="thin">
        <color theme="1"/>
      </left>
      <right style="thin">
        <color theme="1"/>
      </right>
      <top/>
      <bottom style="thin">
        <color theme="1"/>
      </bottom>
      <diagonal/>
    </border>
    <border>
      <left style="thin">
        <color theme="1"/>
      </left>
      <right/>
      <top/>
      <bottom style="thin">
        <color theme="1"/>
      </bottom>
      <diagonal/>
    </border>
    <border>
      <left style="medium">
        <color rgb="FF000000"/>
      </left>
      <right style="medium">
        <color rgb="FF000000"/>
      </right>
      <top/>
      <bottom style="thin">
        <color theme="1"/>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style="thin">
        <color rgb="FF000000"/>
      </right>
      <top/>
      <bottom style="medium">
        <color indexed="64"/>
      </bottom>
      <diagonal/>
    </border>
    <border>
      <left style="thin">
        <color rgb="FF000000"/>
      </left>
      <right/>
      <top style="thin">
        <color indexed="64"/>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s>
  <cellStyleXfs count="10">
    <xf numFmtId="0" fontId="0" fillId="0" borderId="0"/>
    <xf numFmtId="0" fontId="10" fillId="4" borderId="0" applyNumberFormat="0" applyBorder="0" applyAlignment="0" applyProtection="0"/>
    <xf numFmtId="0" fontId="11" fillId="0" borderId="4"/>
    <xf numFmtId="9" fontId="11" fillId="0" borderId="4" applyFont="0" applyFill="0" applyBorder="0" applyAlignment="0" applyProtection="0"/>
    <xf numFmtId="44" fontId="11" fillId="0" borderId="4" applyFont="0" applyFill="0" applyBorder="0" applyAlignment="0" applyProtection="0"/>
    <xf numFmtId="44" fontId="12" fillId="0" borderId="0" applyFont="0" applyFill="0" applyBorder="0" applyAlignment="0" applyProtection="0"/>
    <xf numFmtId="9" fontId="14"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534">
    <xf numFmtId="0" fontId="0" fillId="0" borderId="0" xfId="0" applyFont="1" applyAlignment="1"/>
    <xf numFmtId="0" fontId="1" fillId="0" borderId="0" xfId="0" applyFont="1"/>
    <xf numFmtId="0" fontId="3" fillId="0" borderId="0" xfId="0" applyFont="1"/>
    <xf numFmtId="167" fontId="3" fillId="0" borderId="0" xfId="0" applyNumberFormat="1" applyFont="1"/>
    <xf numFmtId="0" fontId="5" fillId="0" borderId="0" xfId="0" applyFont="1"/>
    <xf numFmtId="0" fontId="7" fillId="0" borderId="0" xfId="0" applyFont="1"/>
    <xf numFmtId="0" fontId="6" fillId="0" borderId="0" xfId="0" applyFont="1"/>
    <xf numFmtId="0" fontId="2" fillId="0" borderId="0" xfId="0" applyFont="1"/>
    <xf numFmtId="164" fontId="3" fillId="0" borderId="3" xfId="0" applyNumberFormat="1" applyFont="1" applyBorder="1"/>
    <xf numFmtId="167" fontId="3" fillId="0" borderId="4" xfId="0" applyNumberFormat="1" applyFont="1" applyBorder="1"/>
    <xf numFmtId="0" fontId="1" fillId="0" borderId="4" xfId="0" applyFont="1" applyBorder="1"/>
    <xf numFmtId="164" fontId="3" fillId="0" borderId="4" xfId="0" applyNumberFormat="1" applyFont="1" applyBorder="1"/>
    <xf numFmtId="0" fontId="3" fillId="0" borderId="4" xfId="0" applyFont="1" applyBorder="1"/>
    <xf numFmtId="167" fontId="8" fillId="0" borderId="4" xfId="0" applyNumberFormat="1" applyFont="1" applyBorder="1"/>
    <xf numFmtId="0" fontId="0" fillId="0" borderId="0" xfId="0" applyFont="1" applyAlignment="1"/>
    <xf numFmtId="0" fontId="1" fillId="0" borderId="4" xfId="0" applyFont="1" applyBorder="1" applyAlignment="1">
      <alignment horizontal="left"/>
    </xf>
    <xf numFmtId="0" fontId="8" fillId="0" borderId="4" xfId="0" applyNumberFormat="1" applyFont="1" applyBorder="1"/>
    <xf numFmtId="0" fontId="0" fillId="0" borderId="0" xfId="0" applyFont="1" applyAlignment="1"/>
    <xf numFmtId="0" fontId="0" fillId="0" borderId="0" xfId="0" applyFont="1" applyAlignment="1"/>
    <xf numFmtId="0" fontId="11" fillId="0" borderId="0" xfId="0" applyFont="1" applyAlignment="1"/>
    <xf numFmtId="0" fontId="0" fillId="0" borderId="0" xfId="0" applyFont="1" applyAlignment="1"/>
    <xf numFmtId="0" fontId="0" fillId="0" borderId="4" xfId="0" applyFont="1" applyBorder="1" applyAlignment="1"/>
    <xf numFmtId="0" fontId="0" fillId="0" borderId="0" xfId="0" applyFont="1" applyAlignment="1"/>
    <xf numFmtId="44" fontId="1" fillId="10" borderId="35" xfId="5" applyFont="1" applyFill="1" applyBorder="1"/>
    <xf numFmtId="44" fontId="1" fillId="14" borderId="35" xfId="5" applyFont="1" applyFill="1" applyBorder="1"/>
    <xf numFmtId="44" fontId="0" fillId="14" borderId="4" xfId="0" applyNumberFormat="1" applyFont="1" applyFill="1" applyBorder="1" applyAlignment="1"/>
    <xf numFmtId="0" fontId="3" fillId="17" borderId="42" xfId="0" applyFont="1" applyFill="1" applyBorder="1" applyAlignment="1">
      <alignment horizontal="left"/>
    </xf>
    <xf numFmtId="0" fontId="1" fillId="0" borderId="37" xfId="0" applyFont="1" applyBorder="1"/>
    <xf numFmtId="164" fontId="3" fillId="0" borderId="44" xfId="0" applyNumberFormat="1" applyFont="1" applyBorder="1"/>
    <xf numFmtId="0" fontId="0" fillId="0" borderId="36" xfId="0" applyFont="1" applyBorder="1" applyAlignment="1"/>
    <xf numFmtId="0" fontId="2" fillId="10" borderId="29" xfId="0" applyFont="1" applyFill="1" applyBorder="1" applyAlignment="1">
      <alignment horizontal="center"/>
    </xf>
    <xf numFmtId="0" fontId="0" fillId="10" borderId="29" xfId="0" applyFont="1" applyFill="1" applyBorder="1" applyAlignment="1">
      <alignment horizontal="right"/>
    </xf>
    <xf numFmtId="0" fontId="0" fillId="8" borderId="29" xfId="0" applyFont="1" applyFill="1" applyBorder="1" applyAlignment="1">
      <alignment horizontal="right"/>
    </xf>
    <xf numFmtId="0" fontId="1" fillId="0" borderId="43" xfId="0" applyFont="1" applyBorder="1"/>
    <xf numFmtId="172" fontId="0" fillId="18" borderId="43" xfId="0" applyNumberFormat="1" applyFont="1" applyFill="1" applyBorder="1" applyAlignment="1"/>
    <xf numFmtId="172" fontId="0" fillId="11" borderId="43" xfId="0" applyNumberFormat="1" applyFont="1" applyFill="1" applyBorder="1" applyAlignment="1"/>
    <xf numFmtId="172" fontId="0" fillId="19" borderId="43" xfId="0" applyNumberFormat="1" applyFont="1" applyFill="1" applyBorder="1" applyAlignment="1"/>
    <xf numFmtId="0" fontId="2" fillId="0" borderId="4" xfId="0" applyFont="1" applyBorder="1"/>
    <xf numFmtId="0" fontId="3" fillId="0" borderId="46" xfId="0" applyFont="1" applyBorder="1"/>
    <xf numFmtId="0" fontId="0" fillId="20" borderId="29" xfId="0" applyFont="1" applyFill="1" applyBorder="1" applyAlignment="1">
      <alignment horizontal="center"/>
    </xf>
    <xf numFmtId="176" fontId="2" fillId="21" borderId="29" xfId="0" applyNumberFormat="1" applyFont="1" applyFill="1" applyBorder="1" applyAlignment="1">
      <alignment horizontal="center" vertical="center" wrapText="1"/>
    </xf>
    <xf numFmtId="177" fontId="11" fillId="14" borderId="29" xfId="0" applyNumberFormat="1" applyFont="1" applyFill="1" applyBorder="1" applyAlignment="1">
      <alignment horizontal="center"/>
    </xf>
    <xf numFmtId="0" fontId="2" fillId="0" borderId="29" xfId="0" applyFont="1" applyFill="1" applyBorder="1" applyAlignment="1">
      <alignment horizontal="center" vertical="center" wrapText="1"/>
    </xf>
    <xf numFmtId="0" fontId="3" fillId="0" borderId="29" xfId="0" applyFont="1" applyFill="1" applyBorder="1" applyAlignment="1">
      <alignment horizontal="center"/>
    </xf>
    <xf numFmtId="0" fontId="0" fillId="8" borderId="35" xfId="0" applyFont="1" applyFill="1" applyBorder="1" applyAlignment="1"/>
    <xf numFmtId="44" fontId="0" fillId="8" borderId="40" xfId="0" applyNumberFormat="1" applyFont="1" applyFill="1" applyBorder="1" applyAlignment="1">
      <alignment horizontal="left" vertical="center"/>
    </xf>
    <xf numFmtId="0" fontId="1" fillId="0" borderId="29" xfId="0" applyFont="1" applyFill="1" applyBorder="1" applyAlignment="1">
      <alignment horizontal="right"/>
    </xf>
    <xf numFmtId="0" fontId="0" fillId="0" borderId="29" xfId="0" applyFont="1" applyFill="1" applyBorder="1" applyAlignment="1">
      <alignment horizontal="center"/>
    </xf>
    <xf numFmtId="0" fontId="1" fillId="0" borderId="35" xfId="0" applyFont="1" applyFill="1" applyBorder="1" applyAlignment="1">
      <alignment horizontal="right"/>
    </xf>
    <xf numFmtId="171" fontId="4" fillId="6" borderId="4" xfId="0" applyNumberFormat="1" applyFont="1" applyFill="1" applyBorder="1"/>
    <xf numFmtId="164" fontId="3" fillId="0" borderId="46" xfId="0" applyNumberFormat="1" applyFont="1" applyBorder="1"/>
    <xf numFmtId="164" fontId="9" fillId="0" borderId="46" xfId="0" applyNumberFormat="1" applyFont="1" applyBorder="1"/>
    <xf numFmtId="167" fontId="3" fillId="0" borderId="46" xfId="0" applyNumberFormat="1" applyFont="1" applyBorder="1"/>
    <xf numFmtId="164" fontId="3" fillId="0" borderId="48" xfId="0" applyNumberFormat="1" applyFont="1" applyBorder="1"/>
    <xf numFmtId="164" fontId="9" fillId="0" borderId="4" xfId="0" applyNumberFormat="1" applyFont="1" applyBorder="1"/>
    <xf numFmtId="9" fontId="3" fillId="0" borderId="36" xfId="6" applyFont="1" applyBorder="1"/>
    <xf numFmtId="9" fontId="3" fillId="0" borderId="48" xfId="6" applyFont="1" applyBorder="1"/>
    <xf numFmtId="164" fontId="1" fillId="0" borderId="43" xfId="0" applyNumberFormat="1" applyFont="1" applyBorder="1"/>
    <xf numFmtId="167" fontId="3" fillId="0" borderId="4" xfId="0" applyNumberFormat="1" applyFont="1" applyBorder="1" applyAlignment="1">
      <alignment vertical="center" wrapText="1"/>
    </xf>
    <xf numFmtId="0" fontId="3" fillId="22" borderId="40" xfId="0" applyFont="1" applyFill="1" applyBorder="1" applyAlignment="1">
      <alignment horizontal="left"/>
    </xf>
    <xf numFmtId="171" fontId="13" fillId="0" borderId="0" xfId="0" applyNumberFormat="1" applyFont="1"/>
    <xf numFmtId="172" fontId="9" fillId="0" borderId="0" xfId="0" applyNumberFormat="1" applyFont="1"/>
    <xf numFmtId="171" fontId="9" fillId="0" borderId="0" xfId="0" applyNumberFormat="1" applyFont="1"/>
    <xf numFmtId="0" fontId="0" fillId="0" borderId="0" xfId="0" applyFont="1" applyAlignment="1">
      <alignment vertical="center"/>
    </xf>
    <xf numFmtId="0" fontId="1" fillId="0" borderId="0" xfId="0" applyFont="1" applyAlignment="1">
      <alignment vertical="center"/>
    </xf>
    <xf numFmtId="0" fontId="24" fillId="0" borderId="1" xfId="0" applyFont="1" applyBorder="1" applyAlignment="1">
      <alignment horizontal="right"/>
    </xf>
    <xf numFmtId="0" fontId="24" fillId="0" borderId="66" xfId="0" applyFont="1" applyBorder="1" applyAlignment="1">
      <alignment horizontal="right"/>
    </xf>
    <xf numFmtId="0" fontId="24" fillId="0" borderId="19" xfId="0" applyFont="1" applyBorder="1" applyAlignment="1">
      <alignment horizontal="right"/>
    </xf>
    <xf numFmtId="0" fontId="22" fillId="0" borderId="29" xfId="0" applyFont="1" applyBorder="1" applyAlignment="1"/>
    <xf numFmtId="164" fontId="27" fillId="0" borderId="3" xfId="0" applyNumberFormat="1" applyFont="1" applyBorder="1" applyAlignment="1">
      <alignment horizontal="right"/>
    </xf>
    <xf numFmtId="164" fontId="27" fillId="0" borderId="46" xfId="0" applyNumberFormat="1" applyFont="1" applyBorder="1" applyAlignment="1">
      <alignment horizontal="right"/>
    </xf>
    <xf numFmtId="164" fontId="27" fillId="0" borderId="45" xfId="0" applyNumberFormat="1" applyFont="1" applyBorder="1" applyAlignment="1">
      <alignment horizontal="right"/>
    </xf>
    <xf numFmtId="164" fontId="27" fillId="0" borderId="4" xfId="0" applyNumberFormat="1" applyFont="1" applyBorder="1" applyAlignment="1">
      <alignment horizontal="right"/>
    </xf>
    <xf numFmtId="0" fontId="27" fillId="0" borderId="46" xfId="0" applyFont="1" applyBorder="1"/>
    <xf numFmtId="164" fontId="27" fillId="0" borderId="5" xfId="0" applyNumberFormat="1" applyFont="1" applyBorder="1" applyAlignment="1">
      <alignment horizontal="right"/>
    </xf>
    <xf numFmtId="164" fontId="27" fillId="0" borderId="76" xfId="0" applyNumberFormat="1" applyFont="1" applyBorder="1" applyAlignment="1">
      <alignment horizontal="right"/>
    </xf>
    <xf numFmtId="164" fontId="27" fillId="0" borderId="44" xfId="0" applyNumberFormat="1" applyFont="1" applyBorder="1" applyAlignment="1">
      <alignment horizontal="right"/>
    </xf>
    <xf numFmtId="164" fontId="27" fillId="0" borderId="48" xfId="0" applyNumberFormat="1" applyFont="1" applyBorder="1" applyAlignment="1">
      <alignment horizontal="right"/>
    </xf>
    <xf numFmtId="164" fontId="27" fillId="0" borderId="41" xfId="0" applyNumberFormat="1" applyFont="1" applyBorder="1" applyAlignment="1">
      <alignment horizontal="right"/>
    </xf>
    <xf numFmtId="164" fontId="27" fillId="0" borderId="5" xfId="0" applyNumberFormat="1" applyFont="1" applyFill="1" applyBorder="1"/>
    <xf numFmtId="164" fontId="27" fillId="0" borderId="11" xfId="0" applyNumberFormat="1" applyFont="1" applyFill="1" applyBorder="1"/>
    <xf numFmtId="164" fontId="27" fillId="0" borderId="46" xfId="0" applyNumberFormat="1" applyFont="1" applyFill="1" applyBorder="1"/>
    <xf numFmtId="165" fontId="26" fillId="0" borderId="53" xfId="0" applyNumberFormat="1" applyFont="1" applyFill="1" applyBorder="1"/>
    <xf numFmtId="44" fontId="27" fillId="7" borderId="11" xfId="5" applyFont="1" applyFill="1" applyBorder="1"/>
    <xf numFmtId="44" fontId="27" fillId="7" borderId="46" xfId="5" applyFont="1" applyFill="1" applyBorder="1"/>
    <xf numFmtId="44" fontId="27" fillId="24" borderId="45" xfId="5" applyFont="1" applyFill="1" applyBorder="1"/>
    <xf numFmtId="44" fontId="27" fillId="24" borderId="46" xfId="5" applyFont="1" applyFill="1" applyBorder="1"/>
    <xf numFmtId="165" fontId="26" fillId="24" borderId="53" xfId="0" applyNumberFormat="1" applyFont="1" applyFill="1" applyBorder="1"/>
    <xf numFmtId="171" fontId="37" fillId="0" borderId="48" xfId="0" applyNumberFormat="1" applyFont="1" applyFill="1" applyBorder="1"/>
    <xf numFmtId="171" fontId="37" fillId="0" borderId="73" xfId="0" applyNumberFormat="1" applyFont="1" applyFill="1" applyBorder="1"/>
    <xf numFmtId="165" fontId="30" fillId="0" borderId="72" xfId="0" applyNumberFormat="1" applyFont="1" applyFill="1" applyBorder="1"/>
    <xf numFmtId="164" fontId="27" fillId="0" borderId="65" xfId="0" applyNumberFormat="1" applyFont="1" applyBorder="1"/>
    <xf numFmtId="164" fontId="27" fillId="0" borderId="46" xfId="0" applyNumberFormat="1" applyFont="1" applyBorder="1"/>
    <xf numFmtId="0" fontId="36" fillId="0" borderId="53" xfId="0" applyFont="1" applyBorder="1"/>
    <xf numFmtId="164" fontId="27" fillId="0" borderId="53" xfId="0" applyNumberFormat="1" applyFont="1" applyBorder="1"/>
    <xf numFmtId="0" fontId="27" fillId="0" borderId="53" xfId="0" applyFont="1" applyBorder="1"/>
    <xf numFmtId="44" fontId="27" fillId="0" borderId="53" xfId="5" applyFont="1" applyBorder="1"/>
    <xf numFmtId="44" fontId="27" fillId="0" borderId="46" xfId="5" applyFont="1" applyBorder="1"/>
    <xf numFmtId="0" fontId="24" fillId="0" borderId="53" xfId="0" applyFont="1" applyBorder="1"/>
    <xf numFmtId="9" fontId="27" fillId="0" borderId="4" xfId="0" applyNumberFormat="1" applyFont="1" applyFill="1" applyBorder="1"/>
    <xf numFmtId="164" fontId="27" fillId="0" borderId="48" xfId="0" applyNumberFormat="1" applyFont="1" applyBorder="1"/>
    <xf numFmtId="9" fontId="27" fillId="0" borderId="40" xfId="0" applyNumberFormat="1" applyFont="1" applyFill="1" applyBorder="1"/>
    <xf numFmtId="167" fontId="27" fillId="0" borderId="29" xfId="0" applyNumberFormat="1" applyFont="1" applyFill="1" applyBorder="1" applyAlignment="1">
      <alignment horizontal="center"/>
    </xf>
    <xf numFmtId="0" fontId="27" fillId="0" borderId="29" xfId="0" applyFont="1" applyBorder="1"/>
    <xf numFmtId="0" fontId="39" fillId="25" borderId="4" xfId="0" applyFont="1" applyFill="1" applyBorder="1"/>
    <xf numFmtId="0" fontId="27" fillId="8" borderId="4" xfId="0" applyFont="1" applyFill="1" applyBorder="1" applyAlignment="1">
      <alignment vertical="center"/>
    </xf>
    <xf numFmtId="167" fontId="27" fillId="7" borderId="38" xfId="0" applyNumberFormat="1" applyFont="1" applyFill="1" applyBorder="1" applyAlignment="1">
      <alignment horizontal="center" vertical="center"/>
    </xf>
    <xf numFmtId="166" fontId="27" fillId="0" borderId="71" xfId="0" applyNumberFormat="1" applyFont="1" applyBorder="1" applyProtection="1">
      <protection locked="0"/>
    </xf>
    <xf numFmtId="0" fontId="27" fillId="0" borderId="75" xfId="0" applyFont="1" applyBorder="1" applyProtection="1">
      <protection locked="0"/>
    </xf>
    <xf numFmtId="9" fontId="27" fillId="0" borderId="71" xfId="0" applyNumberFormat="1" applyFont="1" applyBorder="1" applyProtection="1">
      <protection locked="0"/>
    </xf>
    <xf numFmtId="9" fontId="27" fillId="9" borderId="71" xfId="0" applyNumberFormat="1" applyFont="1" applyFill="1" applyBorder="1" applyProtection="1">
      <protection locked="0"/>
    </xf>
    <xf numFmtId="9" fontId="27" fillId="0" borderId="4" xfId="0" applyNumberFormat="1" applyFont="1" applyFill="1" applyBorder="1" applyProtection="1">
      <protection locked="0"/>
    </xf>
    <xf numFmtId="0" fontId="29" fillId="3" borderId="49" xfId="0" applyFont="1" applyFill="1" applyBorder="1" applyAlignment="1" applyProtection="1">
      <alignment horizontal="left" vertical="center"/>
      <protection locked="0"/>
    </xf>
    <xf numFmtId="0" fontId="22" fillId="3" borderId="20" xfId="0" applyNumberFormat="1" applyFont="1" applyFill="1" applyBorder="1" applyAlignment="1" applyProtection="1">
      <alignment horizontal="center" vertical="center"/>
      <protection locked="0"/>
    </xf>
    <xf numFmtId="22" fontId="11" fillId="0" borderId="0" xfId="0" applyNumberFormat="1" applyFont="1" applyAlignment="1"/>
    <xf numFmtId="174" fontId="0" fillId="0" borderId="0" xfId="0" applyNumberFormat="1" applyFont="1" applyAlignment="1"/>
    <xf numFmtId="10" fontId="27" fillId="9" borderId="74" xfId="0" applyNumberFormat="1" applyFont="1" applyFill="1" applyBorder="1" applyProtection="1">
      <protection locked="0"/>
    </xf>
    <xf numFmtId="0" fontId="22" fillId="3" borderId="40" xfId="0" applyNumberFormat="1" applyFont="1" applyFill="1" applyBorder="1" applyAlignment="1" applyProtection="1">
      <alignment horizontal="center" vertical="center"/>
      <protection locked="0"/>
    </xf>
    <xf numFmtId="0" fontId="22" fillId="3" borderId="79" xfId="0" applyNumberFormat="1" applyFont="1" applyFill="1" applyBorder="1" applyAlignment="1" applyProtection="1">
      <alignment horizontal="center" vertical="center"/>
      <protection locked="0"/>
    </xf>
    <xf numFmtId="0" fontId="27" fillId="29" borderId="16" xfId="0" applyFont="1" applyFill="1" applyBorder="1" applyAlignment="1" applyProtection="1">
      <alignment horizontal="center" vertical="center"/>
      <protection locked="0"/>
    </xf>
    <xf numFmtId="0" fontId="27" fillId="29" borderId="54" xfId="0" applyFont="1" applyFill="1" applyBorder="1" applyAlignment="1" applyProtection="1">
      <alignment horizontal="center" vertical="center"/>
      <protection locked="0"/>
    </xf>
    <xf numFmtId="0" fontId="37" fillId="31" borderId="4" xfId="0" applyFont="1" applyFill="1" applyBorder="1" applyProtection="1">
      <protection locked="0"/>
    </xf>
    <xf numFmtId="177" fontId="26" fillId="31" borderId="78" xfId="0" applyNumberFormat="1" applyFont="1" applyFill="1" applyBorder="1" applyAlignment="1">
      <alignment horizontal="left" vertical="center"/>
    </xf>
    <xf numFmtId="164" fontId="27" fillId="31" borderId="4" xfId="0" applyNumberFormat="1" applyFont="1" applyFill="1" applyBorder="1" applyAlignment="1">
      <alignment horizontal="left" vertical="center"/>
    </xf>
    <xf numFmtId="164" fontId="27" fillId="31" borderId="5" xfId="0" applyNumberFormat="1" applyFont="1" applyFill="1" applyBorder="1" applyAlignment="1">
      <alignment horizontal="right"/>
    </xf>
    <xf numFmtId="164" fontId="27" fillId="31" borderId="46" xfId="0" applyNumberFormat="1" applyFont="1" applyFill="1" applyBorder="1" applyAlignment="1">
      <alignment horizontal="right"/>
    </xf>
    <xf numFmtId="164" fontId="27" fillId="31" borderId="53" xfId="0" applyNumberFormat="1" applyFont="1" applyFill="1" applyBorder="1" applyAlignment="1">
      <alignment horizontal="right"/>
    </xf>
    <xf numFmtId="0" fontId="30" fillId="31" borderId="29" xfId="0" applyFont="1" applyFill="1" applyBorder="1" applyAlignment="1">
      <alignment horizontal="right"/>
    </xf>
    <xf numFmtId="0" fontId="22" fillId="0" borderId="58" xfId="0" applyFont="1" applyFill="1" applyBorder="1" applyAlignment="1" applyProtection="1">
      <alignment horizontal="left" vertical="center"/>
      <protection locked="0"/>
    </xf>
    <xf numFmtId="0" fontId="22" fillId="34" borderId="59" xfId="0" applyFont="1" applyFill="1" applyBorder="1" applyAlignment="1" applyProtection="1">
      <alignment horizontal="left" vertical="center"/>
      <protection locked="0"/>
    </xf>
    <xf numFmtId="0" fontId="22" fillId="32" borderId="81" xfId="0" applyFont="1" applyFill="1" applyBorder="1" applyAlignment="1" applyProtection="1">
      <alignment horizontal="center" vertical="center"/>
      <protection locked="0"/>
    </xf>
    <xf numFmtId="0" fontId="24" fillId="36" borderId="56" xfId="0" applyFont="1" applyFill="1" applyBorder="1" applyAlignment="1" applyProtection="1">
      <alignment horizontal="center" vertical="center" wrapText="1"/>
      <protection locked="0"/>
    </xf>
    <xf numFmtId="0" fontId="24" fillId="36" borderId="9" xfId="0" applyFont="1" applyFill="1" applyBorder="1" applyAlignment="1" applyProtection="1">
      <alignment horizontal="center" vertical="center" wrapText="1"/>
      <protection locked="0"/>
    </xf>
    <xf numFmtId="182" fontId="27" fillId="39" borderId="8" xfId="0" applyNumberFormat="1" applyFont="1" applyFill="1" applyBorder="1" applyAlignment="1" applyProtection="1">
      <alignment horizontal="center" vertical="center"/>
      <protection locked="0"/>
    </xf>
    <xf numFmtId="182" fontId="27" fillId="39" borderId="17" xfId="0" applyNumberFormat="1" applyFont="1" applyFill="1" applyBorder="1" applyAlignment="1" applyProtection="1">
      <alignment horizontal="center" vertical="center"/>
      <protection locked="0"/>
    </xf>
    <xf numFmtId="0" fontId="22" fillId="40" borderId="31" xfId="0" applyFont="1" applyFill="1" applyBorder="1" applyAlignment="1" applyProtection="1">
      <protection locked="0"/>
    </xf>
    <xf numFmtId="0" fontId="22" fillId="42" borderId="40" xfId="0" applyFont="1" applyFill="1" applyBorder="1" applyAlignment="1">
      <alignment horizontal="center" vertical="center"/>
    </xf>
    <xf numFmtId="0" fontId="25" fillId="43" borderId="1" xfId="0" applyFont="1" applyFill="1" applyBorder="1" applyAlignment="1">
      <alignment horizontal="center" vertical="center" wrapText="1"/>
    </xf>
    <xf numFmtId="0" fontId="25" fillId="43" borderId="19" xfId="0" applyFont="1" applyFill="1" applyBorder="1" applyAlignment="1">
      <alignment horizontal="center" vertical="center" wrapText="1"/>
    </xf>
    <xf numFmtId="0" fontId="27" fillId="44" borderId="63" xfId="0" applyFont="1" applyFill="1" applyBorder="1" applyAlignment="1" applyProtection="1">
      <alignment horizontal="right"/>
      <protection locked="0"/>
    </xf>
    <xf numFmtId="0" fontId="27" fillId="44" borderId="67" xfId="0" applyFont="1" applyFill="1" applyBorder="1" applyAlignment="1" applyProtection="1">
      <alignment horizontal="right"/>
      <protection locked="0"/>
    </xf>
    <xf numFmtId="0" fontId="27" fillId="44" borderId="68" xfId="0" applyFont="1" applyFill="1" applyBorder="1" applyAlignment="1" applyProtection="1">
      <alignment horizontal="right"/>
      <protection locked="0"/>
    </xf>
    <xf numFmtId="2" fontId="27" fillId="44" borderId="69" xfId="0" applyNumberFormat="1" applyFont="1" applyFill="1" applyBorder="1" applyAlignment="1" applyProtection="1">
      <alignment horizontal="right"/>
      <protection locked="0"/>
    </xf>
    <xf numFmtId="2" fontId="27" fillId="44" borderId="70" xfId="0" applyNumberFormat="1" applyFont="1" applyFill="1" applyBorder="1" applyAlignment="1" applyProtection="1">
      <alignment horizontal="right"/>
      <protection locked="0"/>
    </xf>
    <xf numFmtId="2" fontId="27" fillId="44" borderId="77" xfId="0" applyNumberFormat="1" applyFont="1" applyFill="1" applyBorder="1" applyAlignment="1" applyProtection="1">
      <alignment horizontal="right"/>
      <protection locked="0"/>
    </xf>
    <xf numFmtId="44" fontId="27" fillId="25" borderId="63" xfId="5" applyFont="1" applyFill="1" applyBorder="1"/>
    <xf numFmtId="44" fontId="27" fillId="25" borderId="29" xfId="5" applyFont="1" applyFill="1" applyBorder="1"/>
    <xf numFmtId="165" fontId="26" fillId="25" borderId="40" xfId="0" applyNumberFormat="1" applyFont="1" applyFill="1" applyBorder="1"/>
    <xf numFmtId="0" fontId="24" fillId="36" borderId="57" xfId="0" applyFont="1" applyFill="1" applyBorder="1" applyAlignment="1" applyProtection="1">
      <alignment horizontal="center" vertical="center"/>
      <protection locked="0"/>
    </xf>
    <xf numFmtId="0" fontId="24" fillId="50" borderId="80" xfId="0" applyFont="1" applyFill="1" applyBorder="1" applyAlignment="1" applyProtection="1">
      <alignment horizontal="center" vertical="center" wrapText="1"/>
      <protection locked="0"/>
    </xf>
    <xf numFmtId="0" fontId="30" fillId="41" borderId="51" xfId="0" applyFont="1" applyFill="1" applyBorder="1" applyAlignment="1" applyProtection="1">
      <alignment horizontal="left" vertical="center" wrapText="1"/>
      <protection locked="0"/>
    </xf>
    <xf numFmtId="171" fontId="30" fillId="39" borderId="29" xfId="0" applyNumberFormat="1" applyFont="1" applyFill="1" applyBorder="1" applyAlignment="1">
      <alignment horizontal="right" vertical="center"/>
    </xf>
    <xf numFmtId="165" fontId="30" fillId="39" borderId="40" xfId="0" applyNumberFormat="1" applyFont="1" applyFill="1" applyBorder="1" applyAlignment="1">
      <alignment horizontal="right" vertical="center"/>
    </xf>
    <xf numFmtId="1" fontId="22" fillId="52" borderId="81" xfId="0" applyNumberFormat="1" applyFont="1" applyFill="1" applyBorder="1" applyAlignment="1" applyProtection="1">
      <alignment horizontal="center" vertical="center"/>
      <protection locked="0"/>
    </xf>
    <xf numFmtId="14" fontId="43" fillId="38" borderId="83" xfId="0" applyNumberFormat="1" applyFont="1" applyFill="1" applyBorder="1" applyAlignment="1" applyProtection="1">
      <alignment horizontal="center" vertical="center" wrapText="1"/>
      <protection locked="0"/>
    </xf>
    <xf numFmtId="0" fontId="34" fillId="38" borderId="52" xfId="8" applyFont="1" applyFill="1" applyBorder="1" applyAlignment="1" applyProtection="1">
      <alignment horizontal="center" vertical="center"/>
      <protection locked="0"/>
    </xf>
    <xf numFmtId="0" fontId="22" fillId="11" borderId="58" xfId="0" applyFont="1" applyFill="1" applyBorder="1" applyAlignment="1" applyProtection="1">
      <alignment horizontal="left" vertical="center"/>
      <protection locked="0"/>
    </xf>
    <xf numFmtId="167" fontId="48" fillId="54" borderId="47" xfId="0" applyNumberFormat="1" applyFont="1" applyFill="1" applyBorder="1" applyAlignment="1">
      <alignment horizontal="center" vertical="center" wrapText="1"/>
    </xf>
    <xf numFmtId="0" fontId="27" fillId="55" borderId="7" xfId="0" applyFont="1" applyFill="1" applyBorder="1" applyAlignment="1" applyProtection="1">
      <alignment horizontal="center" vertical="center"/>
      <protection locked="0"/>
    </xf>
    <xf numFmtId="0" fontId="27" fillId="55" borderId="6" xfId="0" applyFont="1" applyFill="1" applyBorder="1" applyAlignment="1" applyProtection="1">
      <alignment horizontal="center" vertical="center"/>
      <protection locked="0"/>
    </xf>
    <xf numFmtId="0" fontId="27" fillId="56" borderId="56" xfId="0" applyFont="1" applyFill="1" applyBorder="1" applyAlignment="1" applyProtection="1">
      <alignment horizontal="center" vertical="center"/>
      <protection locked="0"/>
    </xf>
    <xf numFmtId="0" fontId="27" fillId="56" borderId="4" xfId="0" applyFont="1" applyFill="1" applyBorder="1" applyAlignment="1" applyProtection="1">
      <alignment horizontal="center" vertical="center"/>
      <protection locked="0"/>
    </xf>
    <xf numFmtId="0" fontId="27" fillId="57" borderId="84" xfId="0" applyFont="1" applyFill="1" applyBorder="1" applyAlignment="1" applyProtection="1">
      <alignment horizontal="center" vertical="center"/>
      <protection locked="0"/>
    </xf>
    <xf numFmtId="178" fontId="32" fillId="58" borderId="30" xfId="0" applyNumberFormat="1" applyFont="1" applyFill="1" applyBorder="1" applyAlignment="1" applyProtection="1">
      <alignment horizontal="center" vertical="center"/>
      <protection locked="0"/>
    </xf>
    <xf numFmtId="168" fontId="22" fillId="48" borderId="64" xfId="0" applyNumberFormat="1" applyFont="1" applyFill="1" applyBorder="1" applyProtection="1">
      <protection locked="0"/>
    </xf>
    <xf numFmtId="0" fontId="22" fillId="59" borderId="81" xfId="0" applyFont="1" applyFill="1" applyBorder="1" applyAlignment="1" applyProtection="1">
      <alignment horizontal="center" vertical="center"/>
      <protection locked="0"/>
    </xf>
    <xf numFmtId="181" fontId="27" fillId="46" borderId="18" xfId="0" applyNumberFormat="1" applyFont="1" applyFill="1" applyBorder="1" applyAlignment="1" applyProtection="1">
      <alignment horizontal="center" vertical="center"/>
      <protection locked="0"/>
    </xf>
    <xf numFmtId="0" fontId="34" fillId="11" borderId="52" xfId="8" applyFont="1" applyFill="1" applyBorder="1" applyAlignment="1" applyProtection="1">
      <alignment vertical="top"/>
      <protection locked="0"/>
    </xf>
    <xf numFmtId="178" fontId="44" fillId="58" borderId="30" xfId="0" applyNumberFormat="1" applyFont="1" applyFill="1" applyBorder="1" applyAlignment="1" applyProtection="1">
      <alignment horizontal="center" vertical="center" wrapText="1"/>
      <protection locked="0"/>
    </xf>
    <xf numFmtId="0" fontId="22" fillId="37" borderId="50" xfId="0" applyFont="1" applyFill="1" applyBorder="1" applyAlignment="1" applyProtection="1">
      <alignment horizontal="left" vertical="center"/>
      <protection locked="0"/>
    </xf>
    <xf numFmtId="0" fontId="22" fillId="40" borderId="36" xfId="0" applyFont="1" applyFill="1" applyBorder="1" applyAlignment="1" applyProtection="1">
      <alignment vertical="center"/>
      <protection locked="0"/>
    </xf>
    <xf numFmtId="177" fontId="30" fillId="45" borderId="86" xfId="0" applyNumberFormat="1" applyFont="1" applyFill="1" applyBorder="1" applyAlignment="1" applyProtection="1">
      <alignment horizontal="left"/>
      <protection locked="0"/>
    </xf>
    <xf numFmtId="164" fontId="27" fillId="0" borderId="85" xfId="0" applyNumberFormat="1" applyFont="1" applyFill="1" applyBorder="1" applyAlignment="1">
      <alignment horizontal="left"/>
    </xf>
    <xf numFmtId="0" fontId="30" fillId="0" borderId="85" xfId="0" applyFont="1" applyFill="1" applyBorder="1" applyAlignment="1">
      <alignment horizontal="right"/>
    </xf>
    <xf numFmtId="175" fontId="55" fillId="35" borderId="25" xfId="0" applyNumberFormat="1" applyFont="1" applyFill="1" applyBorder="1" applyAlignment="1" applyProtection="1">
      <alignment horizontal="right" vertical="center"/>
      <protection locked="0"/>
    </xf>
    <xf numFmtId="0" fontId="22" fillId="0" borderId="4" xfId="0" applyFont="1" applyBorder="1" applyAlignment="1"/>
    <xf numFmtId="44" fontId="36" fillId="42" borderId="40" xfId="7" applyNumberFormat="1" applyFont="1" applyFill="1" applyBorder="1" applyAlignment="1">
      <alignment horizontal="center" vertical="center" wrapText="1"/>
    </xf>
    <xf numFmtId="0" fontId="24" fillId="0" borderId="88" xfId="0" applyFont="1" applyBorder="1"/>
    <xf numFmtId="0" fontId="27" fillId="0" borderId="4" xfId="0" applyFont="1" applyBorder="1"/>
    <xf numFmtId="0" fontId="37" fillId="31" borderId="4" xfId="0" applyFont="1" applyFill="1" applyBorder="1"/>
    <xf numFmtId="0" fontId="27" fillId="0" borderId="36" xfId="0" applyFont="1" applyBorder="1"/>
    <xf numFmtId="0" fontId="27" fillId="31" borderId="32" xfId="0" applyFont="1" applyFill="1" applyBorder="1" applyAlignment="1">
      <alignment horizontal="left" vertical="center"/>
    </xf>
    <xf numFmtId="0" fontId="27" fillId="0" borderId="90" xfId="0" applyFont="1" applyBorder="1"/>
    <xf numFmtId="0" fontId="27" fillId="0" borderId="91" xfId="0" applyFont="1" applyBorder="1"/>
    <xf numFmtId="0" fontId="24" fillId="0" borderId="90" xfId="0" applyFont="1" applyBorder="1"/>
    <xf numFmtId="0" fontId="27" fillId="0" borderId="31" xfId="0" applyFont="1" applyBorder="1"/>
    <xf numFmtId="0" fontId="24" fillId="8" borderId="92" xfId="0" applyFont="1" applyFill="1" applyBorder="1" applyAlignment="1">
      <alignment vertical="center"/>
    </xf>
    <xf numFmtId="0" fontId="39" fillId="2" borderId="93" xfId="0" applyFont="1" applyFill="1" applyBorder="1"/>
    <xf numFmtId="167" fontId="27" fillId="0" borderId="45" xfId="0" applyNumberFormat="1" applyFont="1" applyFill="1" applyBorder="1" applyAlignment="1">
      <alignment horizontal="center"/>
    </xf>
    <xf numFmtId="0" fontId="27" fillId="0" borderId="45" xfId="0" applyFont="1" applyBorder="1"/>
    <xf numFmtId="0" fontId="28" fillId="25" borderId="15" xfId="0" applyFont="1" applyFill="1" applyBorder="1" applyAlignment="1" applyProtection="1">
      <alignment horizontal="left" vertical="center"/>
      <protection locked="0"/>
    </xf>
    <xf numFmtId="0" fontId="28" fillId="25" borderId="23" xfId="0" applyFont="1" applyFill="1" applyBorder="1" applyAlignment="1" applyProtection="1">
      <alignment horizontal="left" vertical="center"/>
      <protection locked="0"/>
    </xf>
    <xf numFmtId="0" fontId="39" fillId="33" borderId="89" xfId="0" applyFont="1" applyFill="1" applyBorder="1"/>
    <xf numFmtId="0" fontId="27" fillId="33" borderId="72" xfId="0" applyFont="1" applyFill="1" applyBorder="1"/>
    <xf numFmtId="167" fontId="27" fillId="33" borderId="48" xfId="0" applyNumberFormat="1" applyFont="1" applyFill="1" applyBorder="1" applyAlignment="1">
      <alignment horizontal="center"/>
    </xf>
    <xf numFmtId="185" fontId="46" fillId="30" borderId="49" xfId="0" applyNumberFormat="1" applyFont="1" applyFill="1" applyBorder="1" applyAlignment="1" applyProtection="1">
      <alignment horizontal="left" vertical="center" wrapText="1"/>
      <protection locked="0"/>
    </xf>
    <xf numFmtId="186" fontId="57" fillId="30" borderId="49" xfId="0" applyNumberFormat="1" applyFont="1" applyFill="1" applyBorder="1" applyAlignment="1" applyProtection="1">
      <alignment horizontal="left" vertical="center" wrapText="1"/>
      <protection locked="0"/>
    </xf>
    <xf numFmtId="0" fontId="32" fillId="42" borderId="29" xfId="0" applyNumberFormat="1" applyFont="1" applyFill="1" applyBorder="1" applyAlignment="1">
      <alignment horizontal="left" vertical="top" wrapText="1"/>
    </xf>
    <xf numFmtId="164" fontId="22" fillId="49" borderId="8" xfId="0" applyNumberFormat="1" applyFont="1" applyFill="1" applyBorder="1" applyProtection="1">
      <protection locked="0"/>
    </xf>
    <xf numFmtId="188" fontId="27" fillId="0" borderId="75" xfId="0" applyNumberFormat="1" applyFont="1" applyBorder="1" applyAlignment="1" applyProtection="1">
      <alignment horizontal="right"/>
      <protection locked="0"/>
    </xf>
    <xf numFmtId="0" fontId="60" fillId="0" borderId="36" xfId="1" applyFont="1" applyFill="1" applyBorder="1" applyAlignment="1">
      <alignment vertical="center"/>
    </xf>
    <xf numFmtId="0" fontId="61" fillId="0" borderId="11" xfId="0" applyFont="1" applyFill="1" applyBorder="1"/>
    <xf numFmtId="0" fontId="22" fillId="0" borderId="4" xfId="0" applyFont="1" applyFill="1" applyBorder="1" applyAlignment="1"/>
    <xf numFmtId="0" fontId="22" fillId="0" borderId="4" xfId="0" applyFont="1" applyBorder="1"/>
    <xf numFmtId="0" fontId="22" fillId="0" borderId="0" xfId="0" applyFont="1" applyAlignment="1"/>
    <xf numFmtId="167" fontId="27" fillId="33" borderId="94" xfId="0" applyNumberFormat="1" applyFont="1" applyFill="1" applyBorder="1" applyAlignment="1">
      <alignment horizontal="center"/>
    </xf>
    <xf numFmtId="0" fontId="39" fillId="33" borderId="98" xfId="0" applyFont="1" applyFill="1" applyBorder="1"/>
    <xf numFmtId="0" fontId="27" fillId="0" borderId="97" xfId="0" applyFont="1" applyBorder="1"/>
    <xf numFmtId="187" fontId="3" fillId="10" borderId="29" xfId="0" applyNumberFormat="1" applyFont="1" applyFill="1" applyBorder="1"/>
    <xf numFmtId="187" fontId="3" fillId="8" borderId="29" xfId="0" applyNumberFormat="1" applyFont="1" applyFill="1" applyBorder="1"/>
    <xf numFmtId="0" fontId="35" fillId="0" borderId="101" xfId="0" applyFont="1" applyFill="1" applyBorder="1" applyAlignment="1">
      <alignment horizontal="center" vertical="center" textRotation="90"/>
    </xf>
    <xf numFmtId="190" fontId="27" fillId="11" borderId="8" xfId="0" applyNumberFormat="1" applyFont="1" applyFill="1" applyBorder="1" applyAlignment="1" applyProtection="1">
      <alignment horizontal="center" vertical="center"/>
      <protection locked="0"/>
    </xf>
    <xf numFmtId="16" fontId="27" fillId="55" borderId="7" xfId="0" applyNumberFormat="1" applyFont="1" applyFill="1" applyBorder="1" applyAlignment="1" applyProtection="1">
      <alignment horizontal="center" vertical="center"/>
      <protection locked="0"/>
    </xf>
    <xf numFmtId="175" fontId="55" fillId="35" borderId="16" xfId="0" applyNumberFormat="1" applyFont="1" applyFill="1" applyBorder="1" applyAlignment="1" applyProtection="1">
      <alignment horizontal="right" vertical="center"/>
      <protection locked="0"/>
    </xf>
    <xf numFmtId="178" fontId="32" fillId="58" borderId="20" xfId="0" applyNumberFormat="1" applyFont="1" applyFill="1" applyBorder="1" applyAlignment="1" applyProtection="1">
      <alignment horizontal="center" vertical="center"/>
      <protection locked="0"/>
    </xf>
    <xf numFmtId="14" fontId="62" fillId="11" borderId="103" xfId="0" applyNumberFormat="1" applyFont="1" applyFill="1" applyBorder="1" applyAlignment="1" applyProtection="1">
      <alignment horizontal="left" vertical="top" wrapText="1"/>
      <protection locked="0"/>
    </xf>
    <xf numFmtId="14" fontId="31" fillId="11" borderId="103" xfId="0" applyNumberFormat="1" applyFont="1" applyFill="1" applyBorder="1" applyAlignment="1" applyProtection="1">
      <alignment horizontal="left" vertical="top" wrapText="1"/>
      <protection locked="0"/>
    </xf>
    <xf numFmtId="175" fontId="55" fillId="35" borderId="54" xfId="0" applyNumberFormat="1" applyFont="1" applyFill="1" applyBorder="1" applyAlignment="1" applyProtection="1">
      <alignment horizontal="right" vertical="center"/>
      <protection locked="0"/>
    </xf>
    <xf numFmtId="0" fontId="24" fillId="36" borderId="87" xfId="0" applyFont="1" applyFill="1" applyBorder="1" applyAlignment="1" applyProtection="1">
      <alignment horizontal="center" vertical="center" wrapText="1"/>
      <protection locked="0"/>
    </xf>
    <xf numFmtId="14" fontId="43" fillId="38" borderId="104" xfId="0" applyNumberFormat="1" applyFont="1" applyFill="1" applyBorder="1" applyAlignment="1" applyProtection="1">
      <alignment horizontal="center" vertical="center" wrapText="1"/>
      <protection locked="0"/>
    </xf>
    <xf numFmtId="0" fontId="24" fillId="36" borderId="4" xfId="0" applyFont="1" applyFill="1" applyBorder="1" applyAlignment="1" applyProtection="1">
      <alignment horizontal="center" vertical="center" wrapText="1"/>
      <protection locked="0"/>
    </xf>
    <xf numFmtId="16" fontId="27" fillId="55" borderId="14" xfId="0" applyNumberFormat="1" applyFont="1" applyFill="1" applyBorder="1" applyAlignment="1" applyProtection="1">
      <alignment horizontal="center" vertical="center"/>
      <protection locked="0"/>
    </xf>
    <xf numFmtId="190" fontId="27" fillId="11" borderId="10" xfId="0" applyNumberFormat="1" applyFont="1" applyFill="1" applyBorder="1" applyAlignment="1" applyProtection="1">
      <alignment horizontal="center" vertical="center"/>
      <protection locked="0"/>
    </xf>
    <xf numFmtId="182" fontId="27" fillId="39" borderId="10" xfId="0" applyNumberFormat="1" applyFont="1" applyFill="1" applyBorder="1" applyAlignment="1" applyProtection="1">
      <alignment horizontal="center" vertical="center"/>
      <protection locked="0"/>
    </xf>
    <xf numFmtId="178" fontId="32" fillId="58" borderId="55" xfId="0" applyNumberFormat="1" applyFont="1" applyFill="1" applyBorder="1" applyAlignment="1" applyProtection="1">
      <alignment horizontal="center" vertical="center"/>
      <protection locked="0"/>
    </xf>
    <xf numFmtId="14" fontId="62" fillId="11" borderId="107" xfId="0" applyNumberFormat="1" applyFont="1" applyFill="1" applyBorder="1" applyAlignment="1" applyProtection="1">
      <alignment horizontal="left" vertical="top" wrapText="1"/>
      <protection locked="0"/>
    </xf>
    <xf numFmtId="14" fontId="31" fillId="11" borderId="107" xfId="0" applyNumberFormat="1" applyFont="1" applyFill="1" applyBorder="1" applyAlignment="1" applyProtection="1">
      <alignment horizontal="left" vertical="top" wrapText="1"/>
      <protection locked="0"/>
    </xf>
    <xf numFmtId="168" fontId="22" fillId="49" borderId="8" xfId="0" applyNumberFormat="1" applyFont="1" applyFill="1" applyBorder="1" applyProtection="1">
      <protection locked="0"/>
    </xf>
    <xf numFmtId="14" fontId="43" fillId="38" borderId="9" xfId="0" applyNumberFormat="1" applyFont="1" applyFill="1" applyBorder="1" applyAlignment="1" applyProtection="1">
      <alignment horizontal="center" vertical="center" wrapText="1"/>
      <protection locked="0"/>
    </xf>
    <xf numFmtId="168" fontId="22" fillId="49" borderId="10" xfId="0" applyNumberFormat="1" applyFont="1" applyFill="1" applyBorder="1" applyProtection="1">
      <protection locked="0"/>
    </xf>
    <xf numFmtId="0" fontId="27" fillId="56" borderId="20" xfId="0" applyFont="1" applyFill="1" applyBorder="1" applyAlignment="1" applyProtection="1">
      <alignment horizontal="center" vertical="center"/>
      <protection locked="0"/>
    </xf>
    <xf numFmtId="0" fontId="27" fillId="29" borderId="8" xfId="0" applyFont="1" applyFill="1" applyBorder="1" applyAlignment="1" applyProtection="1">
      <alignment horizontal="center" vertical="center"/>
      <protection locked="0"/>
    </xf>
    <xf numFmtId="181" fontId="27" fillId="11" borderId="8" xfId="0" applyNumberFormat="1" applyFont="1" applyFill="1" applyBorder="1" applyAlignment="1" applyProtection="1">
      <alignment horizontal="center" vertical="center"/>
      <protection locked="0"/>
    </xf>
    <xf numFmtId="14" fontId="33" fillId="11" borderId="103" xfId="0" applyNumberFormat="1" applyFont="1" applyFill="1" applyBorder="1" applyAlignment="1" applyProtection="1">
      <alignment horizontal="left" vertical="top" wrapText="1"/>
      <protection locked="0"/>
    </xf>
    <xf numFmtId="175" fontId="55" fillId="35" borderId="24" xfId="0" applyNumberFormat="1" applyFont="1" applyFill="1" applyBorder="1" applyAlignment="1" applyProtection="1">
      <alignment horizontal="right" vertical="center"/>
      <protection locked="0"/>
    </xf>
    <xf numFmtId="164" fontId="22" fillId="49" borderId="17" xfId="0" applyNumberFormat="1" applyFont="1" applyFill="1" applyBorder="1" applyProtection="1">
      <protection locked="0"/>
    </xf>
    <xf numFmtId="178" fontId="32" fillId="58" borderId="79" xfId="0" applyNumberFormat="1" applyFont="1" applyFill="1" applyBorder="1" applyAlignment="1" applyProtection="1">
      <alignment horizontal="center" vertical="center"/>
      <protection locked="0"/>
    </xf>
    <xf numFmtId="14" fontId="62" fillId="11" borderId="110" xfId="0" applyNumberFormat="1" applyFont="1" applyFill="1" applyBorder="1" applyAlignment="1" applyProtection="1">
      <alignment horizontal="left" vertical="top" wrapText="1"/>
      <protection locked="0"/>
    </xf>
    <xf numFmtId="14" fontId="31" fillId="11" borderId="110" xfId="0" applyNumberFormat="1" applyFont="1" applyFill="1" applyBorder="1" applyAlignment="1" applyProtection="1">
      <alignment horizontal="left" vertical="top" wrapText="1"/>
      <protection locked="0"/>
    </xf>
    <xf numFmtId="14" fontId="43" fillId="38" borderId="111" xfId="0" applyNumberFormat="1" applyFont="1" applyFill="1" applyBorder="1" applyAlignment="1" applyProtection="1">
      <alignment horizontal="center" vertical="center" wrapText="1"/>
      <protection locked="0"/>
    </xf>
    <xf numFmtId="0" fontId="24" fillId="36" borderId="60" xfId="0" applyFont="1" applyFill="1" applyBorder="1" applyAlignment="1" applyProtection="1">
      <alignment horizontal="center" vertical="center"/>
      <protection locked="0"/>
    </xf>
    <xf numFmtId="0" fontId="22" fillId="40" borderId="28" xfId="0" applyFont="1" applyFill="1" applyBorder="1" applyAlignment="1" applyProtection="1">
      <alignment vertical="center"/>
      <protection locked="0"/>
    </xf>
    <xf numFmtId="0" fontId="22" fillId="40" borderId="105" xfId="0" applyFont="1" applyFill="1" applyBorder="1" applyAlignment="1" applyProtection="1">
      <protection locked="0"/>
    </xf>
    <xf numFmtId="14" fontId="43" fillId="38" borderId="113" xfId="0" applyNumberFormat="1" applyFont="1" applyFill="1" applyBorder="1" applyAlignment="1" applyProtection="1">
      <alignment horizontal="center" vertical="center" wrapText="1"/>
      <protection locked="0"/>
    </xf>
    <xf numFmtId="14" fontId="31" fillId="11" borderId="114" xfId="0" applyNumberFormat="1" applyFont="1" applyFill="1" applyBorder="1" applyAlignment="1" applyProtection="1">
      <alignment horizontal="left" vertical="top" wrapText="1"/>
      <protection locked="0"/>
    </xf>
    <xf numFmtId="0" fontId="27" fillId="0" borderId="115" xfId="0" applyFont="1" applyFill="1" applyBorder="1" applyAlignment="1">
      <alignment horizontal="left" vertical="center"/>
    </xf>
    <xf numFmtId="166" fontId="65" fillId="53" borderId="82" xfId="1" applyNumberFormat="1" applyFont="1" applyFill="1" applyBorder="1" applyAlignment="1" applyProtection="1">
      <alignment horizontal="center" vertical="center" wrapText="1"/>
      <protection locked="0"/>
    </xf>
    <xf numFmtId="0" fontId="66" fillId="38" borderId="39" xfId="0" applyFont="1" applyFill="1" applyBorder="1" applyAlignment="1">
      <alignment horizontal="right" vertical="center"/>
    </xf>
    <xf numFmtId="167" fontId="51" fillId="64" borderId="62" xfId="0" applyNumberFormat="1" applyFont="1" applyFill="1" applyBorder="1" applyAlignment="1">
      <alignment horizontal="left" vertical="center" wrapText="1"/>
    </xf>
    <xf numFmtId="0" fontId="24" fillId="65" borderId="56" xfId="0" applyFont="1" applyFill="1" applyBorder="1" applyAlignment="1" applyProtection="1">
      <alignment horizontal="center" vertical="center" wrapText="1"/>
      <protection locked="0"/>
    </xf>
    <xf numFmtId="0" fontId="25" fillId="65" borderId="1" xfId="0" applyFont="1" applyFill="1" applyBorder="1" applyAlignment="1">
      <alignment horizontal="center" vertical="center" wrapText="1"/>
    </xf>
    <xf numFmtId="0" fontId="22" fillId="0" borderId="56" xfId="0" applyFont="1" applyFill="1" applyBorder="1" applyAlignment="1"/>
    <xf numFmtId="164" fontId="27" fillId="0" borderId="56" xfId="0" applyNumberFormat="1" applyFont="1" applyBorder="1" applyAlignment="1">
      <alignment horizontal="right"/>
    </xf>
    <xf numFmtId="164" fontId="27" fillId="0" borderId="119" xfId="0" applyNumberFormat="1" applyFont="1" applyBorder="1" applyAlignment="1">
      <alignment horizontal="right"/>
    </xf>
    <xf numFmtId="164" fontId="27" fillId="31" borderId="56" xfId="0" applyNumberFormat="1" applyFont="1" applyFill="1" applyBorder="1" applyAlignment="1">
      <alignment horizontal="right"/>
    </xf>
    <xf numFmtId="164" fontId="27" fillId="0" borderId="120" xfId="0" applyNumberFormat="1" applyFont="1" applyFill="1" applyBorder="1" applyAlignment="1">
      <alignment horizontal="left"/>
    </xf>
    <xf numFmtId="164" fontId="27" fillId="0" borderId="56" xfId="0" applyNumberFormat="1" applyFont="1" applyFill="1" applyBorder="1"/>
    <xf numFmtId="44" fontId="27" fillId="7" borderId="56" xfId="5" applyFont="1" applyFill="1" applyBorder="1"/>
    <xf numFmtId="44" fontId="27" fillId="25" borderId="121" xfId="5" applyFont="1" applyFill="1" applyBorder="1"/>
    <xf numFmtId="44" fontId="27" fillId="24" borderId="62" xfId="5" applyFont="1" applyFill="1" applyBorder="1"/>
    <xf numFmtId="171" fontId="30" fillId="39" borderId="121" xfId="0" applyNumberFormat="1" applyFont="1" applyFill="1" applyBorder="1" applyAlignment="1">
      <alignment horizontal="right" vertical="center"/>
    </xf>
    <xf numFmtId="171" fontId="37" fillId="0" borderId="119" xfId="0" applyNumberFormat="1" applyFont="1" applyFill="1" applyBorder="1"/>
    <xf numFmtId="164" fontId="27" fillId="0" borderId="56" xfId="0" applyNumberFormat="1" applyFont="1" applyBorder="1"/>
    <xf numFmtId="164" fontId="27" fillId="0" borderId="62" xfId="0" applyNumberFormat="1" applyFont="1" applyBorder="1"/>
    <xf numFmtId="44" fontId="27" fillId="0" borderId="56" xfId="5" applyFont="1" applyBorder="1"/>
    <xf numFmtId="164" fontId="27" fillId="0" borderId="119" xfId="0" applyNumberFormat="1" applyFont="1" applyBorder="1"/>
    <xf numFmtId="167" fontId="27" fillId="0" borderId="121" xfId="0" applyNumberFormat="1" applyFont="1" applyFill="1" applyBorder="1" applyAlignment="1">
      <alignment horizontal="center"/>
    </xf>
    <xf numFmtId="167" fontId="27" fillId="33" borderId="119" xfId="0" applyNumberFormat="1" applyFont="1" applyFill="1" applyBorder="1" applyAlignment="1">
      <alignment horizontal="center"/>
    </xf>
    <xf numFmtId="167" fontId="27" fillId="7" borderId="62" xfId="0" applyNumberFormat="1" applyFont="1" applyFill="1" applyBorder="1" applyAlignment="1">
      <alignment horizontal="center" vertical="center"/>
    </xf>
    <xf numFmtId="167" fontId="25" fillId="54" borderId="62" xfId="0" applyNumberFormat="1" applyFont="1" applyFill="1" applyBorder="1" applyAlignment="1">
      <alignment horizontal="center" vertical="center" wrapText="1"/>
    </xf>
    <xf numFmtId="0" fontId="32" fillId="42" borderId="122" xfId="0" applyNumberFormat="1" applyFont="1" applyFill="1" applyBorder="1" applyAlignment="1">
      <alignment horizontal="left" vertical="top" wrapText="1"/>
    </xf>
    <xf numFmtId="0" fontId="24" fillId="0" borderId="10" xfId="0" applyFont="1" applyBorder="1" applyAlignment="1">
      <alignment horizontal="right"/>
    </xf>
    <xf numFmtId="164" fontId="27" fillId="0" borderId="123" xfId="0" applyNumberFormat="1" applyFont="1" applyFill="1" applyBorder="1" applyAlignment="1">
      <alignment horizontal="left"/>
    </xf>
    <xf numFmtId="164" fontId="27" fillId="0" borderId="33" xfId="0" applyNumberFormat="1" applyFont="1" applyFill="1" applyBorder="1"/>
    <xf numFmtId="164" fontId="27" fillId="0" borderId="4" xfId="0" applyNumberFormat="1" applyFont="1" applyFill="1" applyBorder="1"/>
    <xf numFmtId="44" fontId="27" fillId="7" borderId="4" xfId="5" applyFont="1" applyFill="1" applyBorder="1"/>
    <xf numFmtId="44" fontId="27" fillId="25" borderId="31" xfId="5" applyFont="1" applyFill="1" applyBorder="1"/>
    <xf numFmtId="44" fontId="27" fillId="24" borderId="47" xfId="5" applyFont="1" applyFill="1" applyBorder="1"/>
    <xf numFmtId="171" fontId="30" fillId="39" borderId="35" xfId="0" applyNumberFormat="1" applyFont="1" applyFill="1" applyBorder="1" applyAlignment="1">
      <alignment horizontal="right" vertical="center"/>
    </xf>
    <xf numFmtId="171" fontId="37" fillId="0" borderId="34" xfId="0" applyNumberFormat="1" applyFont="1" applyFill="1" applyBorder="1"/>
    <xf numFmtId="164" fontId="27" fillId="0" borderId="4" xfId="0" applyNumberFormat="1" applyFont="1" applyBorder="1"/>
    <xf numFmtId="164" fontId="27" fillId="0" borderId="32" xfId="0" applyNumberFormat="1" applyFont="1" applyBorder="1"/>
    <xf numFmtId="44" fontId="27" fillId="0" borderId="4" xfId="5" applyFont="1" applyBorder="1"/>
    <xf numFmtId="164" fontId="27" fillId="0" borderId="34" xfId="0" applyNumberFormat="1" applyFont="1" applyBorder="1"/>
    <xf numFmtId="167" fontId="27" fillId="0" borderId="35" xfId="0" applyNumberFormat="1" applyFont="1" applyFill="1" applyBorder="1" applyAlignment="1">
      <alignment horizontal="center"/>
    </xf>
    <xf numFmtId="167" fontId="27" fillId="33" borderId="34" xfId="0" applyNumberFormat="1" applyFont="1" applyFill="1" applyBorder="1" applyAlignment="1">
      <alignment horizontal="center"/>
    </xf>
    <xf numFmtId="167" fontId="27" fillId="7" borderId="47" xfId="0" applyNumberFormat="1" applyFont="1" applyFill="1" applyBorder="1" applyAlignment="1">
      <alignment horizontal="center" vertical="center"/>
    </xf>
    <xf numFmtId="167" fontId="25" fillId="54" borderId="31" xfId="0" applyNumberFormat="1" applyFont="1" applyFill="1" applyBorder="1" applyAlignment="1">
      <alignment horizontal="center" vertical="center" wrapText="1"/>
    </xf>
    <xf numFmtId="0" fontId="32" fillId="42" borderId="35" xfId="0" applyNumberFormat="1" applyFont="1" applyFill="1" applyBorder="1" applyAlignment="1">
      <alignment horizontal="left" vertical="top" wrapText="1"/>
    </xf>
    <xf numFmtId="0" fontId="24" fillId="36" borderId="60" xfId="0" applyFont="1" applyFill="1" applyBorder="1" applyAlignment="1" applyProtection="1">
      <alignment horizontal="center" vertical="center" wrapText="1"/>
      <protection locked="0"/>
    </xf>
    <xf numFmtId="16" fontId="27" fillId="55" borderId="15" xfId="0" applyNumberFormat="1" applyFont="1" applyFill="1" applyBorder="1" applyAlignment="1" applyProtection="1">
      <alignment horizontal="center" vertical="center"/>
      <protection locked="0"/>
    </xf>
    <xf numFmtId="190" fontId="27" fillId="11" borderId="18" xfId="0" applyNumberFormat="1" applyFont="1" applyFill="1" applyBorder="1" applyAlignment="1" applyProtection="1">
      <alignment horizontal="center" vertical="center"/>
      <protection locked="0"/>
    </xf>
    <xf numFmtId="182" fontId="27" fillId="39" borderId="18" xfId="0" applyNumberFormat="1" applyFont="1" applyFill="1" applyBorder="1" applyAlignment="1" applyProtection="1">
      <alignment horizontal="center" vertical="center"/>
      <protection locked="0"/>
    </xf>
    <xf numFmtId="0" fontId="27" fillId="56" borderId="30" xfId="0" applyFont="1" applyFill="1" applyBorder="1" applyAlignment="1" applyProtection="1">
      <alignment horizontal="center" vertical="center"/>
      <protection locked="0"/>
    </xf>
    <xf numFmtId="0" fontId="27" fillId="29" borderId="25" xfId="0" applyFont="1" applyFill="1" applyBorder="1" applyAlignment="1" applyProtection="1">
      <alignment horizontal="center" vertical="center"/>
      <protection locked="0"/>
    </xf>
    <xf numFmtId="164" fontId="22" fillId="49" borderId="18" xfId="0" applyNumberFormat="1" applyFont="1" applyFill="1" applyBorder="1" applyProtection="1">
      <protection locked="0"/>
    </xf>
    <xf numFmtId="0" fontId="22" fillId="3" borderId="125" xfId="0" applyNumberFormat="1" applyFont="1" applyFill="1" applyBorder="1" applyAlignment="1" applyProtection="1">
      <alignment horizontal="center" vertical="center"/>
      <protection locked="0"/>
    </xf>
    <xf numFmtId="178" fontId="32" fillId="58" borderId="125" xfId="0" applyNumberFormat="1" applyFont="1" applyFill="1" applyBorder="1" applyAlignment="1" applyProtection="1">
      <alignment horizontal="center" vertical="center"/>
      <protection locked="0"/>
    </xf>
    <xf numFmtId="14" fontId="62" fillId="11" borderId="126" xfId="0" applyNumberFormat="1" applyFont="1" applyFill="1" applyBorder="1" applyAlignment="1" applyProtection="1">
      <alignment horizontal="left" vertical="top" wrapText="1"/>
      <protection locked="0"/>
    </xf>
    <xf numFmtId="14" fontId="43" fillId="38" borderId="127" xfId="0" applyNumberFormat="1" applyFont="1" applyFill="1" applyBorder="1" applyAlignment="1" applyProtection="1">
      <alignment horizontal="center" vertical="center" wrapText="1"/>
      <protection locked="0"/>
    </xf>
    <xf numFmtId="164" fontId="27" fillId="0" borderId="11" xfId="0" applyNumberFormat="1" applyFont="1" applyBorder="1" applyAlignment="1">
      <alignment horizontal="right"/>
    </xf>
    <xf numFmtId="164" fontId="27" fillId="31" borderId="11" xfId="0" applyNumberFormat="1" applyFont="1" applyFill="1" applyBorder="1" applyAlignment="1">
      <alignment horizontal="right"/>
    </xf>
    <xf numFmtId="44" fontId="27" fillId="24" borderId="65" xfId="5" applyFont="1" applyFill="1" applyBorder="1"/>
    <xf numFmtId="171" fontId="30" fillId="39" borderId="40" xfId="0" applyNumberFormat="1" applyFont="1" applyFill="1" applyBorder="1" applyAlignment="1">
      <alignment horizontal="right" vertical="center"/>
    </xf>
    <xf numFmtId="171" fontId="37" fillId="0" borderId="41" xfId="0" applyNumberFormat="1" applyFont="1" applyFill="1" applyBorder="1"/>
    <xf numFmtId="164" fontId="27" fillId="0" borderId="41" xfId="0" applyNumberFormat="1" applyFont="1" applyBorder="1"/>
    <xf numFmtId="167" fontId="27" fillId="0" borderId="40" xfId="0" applyNumberFormat="1" applyFont="1" applyFill="1" applyBorder="1" applyAlignment="1">
      <alignment horizontal="center"/>
    </xf>
    <xf numFmtId="167" fontId="27" fillId="33" borderId="41" xfId="0" applyNumberFormat="1" applyFont="1" applyFill="1" applyBorder="1" applyAlignment="1">
      <alignment horizontal="center"/>
    </xf>
    <xf numFmtId="167" fontId="27" fillId="7" borderId="128" xfId="0" applyNumberFormat="1" applyFont="1" applyFill="1" applyBorder="1" applyAlignment="1">
      <alignment horizontal="center" vertical="center"/>
    </xf>
    <xf numFmtId="0" fontId="32" fillId="42" borderId="40" xfId="0" applyNumberFormat="1" applyFont="1" applyFill="1" applyBorder="1" applyAlignment="1">
      <alignment horizontal="left" vertical="top" wrapText="1"/>
    </xf>
    <xf numFmtId="0" fontId="24" fillId="50" borderId="102" xfId="0" applyFont="1" applyFill="1" applyBorder="1" applyAlignment="1" applyProtection="1">
      <alignment horizontal="center" vertical="center" wrapText="1"/>
      <protection locked="0"/>
    </xf>
    <xf numFmtId="0" fontId="24" fillId="65" borderId="108" xfId="0" applyFont="1" applyFill="1" applyBorder="1" applyAlignment="1" applyProtection="1">
      <alignment horizontal="center" vertical="center"/>
      <protection locked="0"/>
    </xf>
    <xf numFmtId="0" fontId="24" fillId="36" borderId="130" xfId="0" applyFont="1" applyFill="1" applyBorder="1" applyAlignment="1" applyProtection="1">
      <alignment horizontal="center" vertical="center"/>
      <protection locked="0"/>
    </xf>
    <xf numFmtId="0" fontId="24" fillId="0" borderId="131" xfId="0" applyFont="1" applyBorder="1" applyAlignment="1">
      <alignment horizontal="right"/>
    </xf>
    <xf numFmtId="164" fontId="27" fillId="0" borderId="132" xfId="0" applyNumberFormat="1" applyFont="1" applyBorder="1" applyAlignment="1">
      <alignment horizontal="right"/>
    </xf>
    <xf numFmtId="0" fontId="22" fillId="0" borderId="40" xfId="0" applyFont="1" applyBorder="1"/>
    <xf numFmtId="14" fontId="36" fillId="11" borderId="103" xfId="0" applyNumberFormat="1" applyFont="1" applyFill="1" applyBorder="1" applyAlignment="1" applyProtection="1">
      <alignment horizontal="left" vertical="top" wrapText="1"/>
      <protection locked="0"/>
    </xf>
    <xf numFmtId="0" fontId="24" fillId="36" borderId="61" xfId="0" applyFont="1" applyFill="1" applyBorder="1" applyAlignment="1" applyProtection="1">
      <alignment horizontal="center" vertical="center" wrapText="1"/>
      <protection locked="0"/>
    </xf>
    <xf numFmtId="190" fontId="27" fillId="11" borderId="17" xfId="0" applyNumberFormat="1" applyFont="1" applyFill="1" applyBorder="1" applyAlignment="1" applyProtection="1">
      <alignment horizontal="center" vertical="center"/>
      <protection locked="0"/>
    </xf>
    <xf numFmtId="0" fontId="27" fillId="56" borderId="79" xfId="0" applyFont="1" applyFill="1" applyBorder="1" applyAlignment="1" applyProtection="1">
      <alignment horizontal="center" vertical="center"/>
      <protection locked="0"/>
    </xf>
    <xf numFmtId="0" fontId="27" fillId="29" borderId="17" xfId="0" applyFont="1" applyFill="1" applyBorder="1" applyAlignment="1" applyProtection="1">
      <alignment horizontal="center" vertical="center"/>
      <protection locked="0"/>
    </xf>
    <xf numFmtId="14" fontId="31" fillId="11" borderId="116" xfId="0" applyNumberFormat="1" applyFont="1" applyFill="1" applyBorder="1" applyAlignment="1" applyProtection="1">
      <alignment horizontal="center" vertical="top" wrapText="1"/>
      <protection locked="0"/>
    </xf>
    <xf numFmtId="14" fontId="31" fillId="11" borderId="118" xfId="0" applyNumberFormat="1" applyFont="1" applyFill="1" applyBorder="1" applyAlignment="1" applyProtection="1">
      <alignment horizontal="center" vertical="top" wrapText="1"/>
      <protection locked="0"/>
    </xf>
    <xf numFmtId="164" fontId="27" fillId="0" borderId="133" xfId="0" applyNumberFormat="1" applyFont="1" applyBorder="1" applyAlignment="1">
      <alignment horizontal="right"/>
    </xf>
    <xf numFmtId="164" fontId="27" fillId="0" borderId="134" xfId="0" applyNumberFormat="1" applyFont="1" applyFill="1" applyBorder="1" applyAlignment="1">
      <alignment horizontal="left"/>
    </xf>
    <xf numFmtId="0" fontId="27" fillId="56" borderId="28" xfId="0" applyFont="1" applyFill="1" applyBorder="1" applyAlignment="1" applyProtection="1">
      <alignment horizontal="center" vertical="center"/>
      <protection locked="0"/>
    </xf>
    <xf numFmtId="0" fontId="27" fillId="29" borderId="24" xfId="0" applyFont="1" applyFill="1" applyBorder="1" applyAlignment="1" applyProtection="1">
      <alignment horizontal="center" vertical="center"/>
      <protection locked="0"/>
    </xf>
    <xf numFmtId="0" fontId="62" fillId="11" borderId="110" xfId="0" applyFont="1" applyFill="1" applyBorder="1" applyAlignment="1" applyProtection="1">
      <alignment horizontal="left" vertical="top" wrapText="1"/>
      <protection locked="0"/>
    </xf>
    <xf numFmtId="0" fontId="24" fillId="36" borderId="135" xfId="0" applyFont="1" applyFill="1" applyBorder="1" applyAlignment="1" applyProtection="1">
      <alignment horizontal="center" vertical="center" wrapText="1"/>
      <protection locked="0"/>
    </xf>
    <xf numFmtId="0" fontId="27" fillId="55" borderId="136" xfId="0" applyFont="1" applyFill="1" applyBorder="1" applyAlignment="1" applyProtection="1">
      <alignment horizontal="center" vertical="center"/>
      <protection locked="0"/>
    </xf>
    <xf numFmtId="190" fontId="27" fillId="11" borderId="137" xfId="0" applyNumberFormat="1" applyFont="1" applyFill="1" applyBorder="1" applyAlignment="1" applyProtection="1">
      <alignment horizontal="center" vertical="center"/>
      <protection locked="0"/>
    </xf>
    <xf numFmtId="182" fontId="27" fillId="39" borderId="137" xfId="0" applyNumberFormat="1" applyFont="1" applyFill="1" applyBorder="1" applyAlignment="1" applyProtection="1">
      <alignment horizontal="center" vertical="center"/>
      <protection locked="0"/>
    </xf>
    <xf numFmtId="0" fontId="27" fillId="56" borderId="138" xfId="0" applyFont="1" applyFill="1" applyBorder="1" applyAlignment="1" applyProtection="1">
      <alignment horizontal="center" vertical="center" wrapText="1"/>
      <protection locked="0"/>
    </xf>
    <xf numFmtId="175" fontId="55" fillId="35" borderId="139" xfId="0" applyNumberFormat="1" applyFont="1" applyFill="1" applyBorder="1" applyAlignment="1" applyProtection="1">
      <alignment horizontal="right" vertical="center"/>
      <protection locked="0"/>
    </xf>
    <xf numFmtId="0" fontId="27" fillId="29" borderId="139" xfId="0" applyFont="1" applyFill="1" applyBorder="1" applyAlignment="1" applyProtection="1">
      <alignment horizontal="center" vertical="center"/>
      <protection locked="0"/>
    </xf>
    <xf numFmtId="164" fontId="22" fillId="49" borderId="137" xfId="0" applyNumberFormat="1" applyFont="1" applyFill="1" applyBorder="1" applyProtection="1">
      <protection locked="0"/>
    </xf>
    <xf numFmtId="0" fontId="22" fillId="3" borderId="141" xfId="0" applyNumberFormat="1" applyFont="1" applyFill="1" applyBorder="1" applyAlignment="1" applyProtection="1">
      <alignment horizontal="center" vertical="center"/>
      <protection locked="0"/>
    </xf>
    <xf numFmtId="178" fontId="32" fillId="58" borderId="141" xfId="0" applyNumberFormat="1" applyFont="1" applyFill="1" applyBorder="1" applyAlignment="1" applyProtection="1">
      <alignment horizontal="center" vertical="center"/>
      <protection locked="0"/>
    </xf>
    <xf numFmtId="14" fontId="62" fillId="11" borderId="142" xfId="0" applyNumberFormat="1" applyFont="1" applyFill="1" applyBorder="1" applyAlignment="1" applyProtection="1">
      <alignment horizontal="left" vertical="top" wrapText="1"/>
      <protection locked="0"/>
    </xf>
    <xf numFmtId="14" fontId="31" fillId="11" borderId="142" xfId="0" applyNumberFormat="1" applyFont="1" applyFill="1" applyBorder="1" applyAlignment="1" applyProtection="1">
      <alignment horizontal="left" vertical="top" wrapText="1"/>
      <protection locked="0"/>
    </xf>
    <xf numFmtId="14" fontId="43" fillId="38" borderId="143" xfId="0" applyNumberFormat="1" applyFont="1" applyFill="1" applyBorder="1" applyAlignment="1" applyProtection="1">
      <alignment horizontal="center" vertical="center" wrapText="1"/>
      <protection locked="0"/>
    </xf>
    <xf numFmtId="168" fontId="22" fillId="40" borderId="141" xfId="0" applyNumberFormat="1" applyFont="1" applyFill="1" applyBorder="1" applyAlignment="1" applyProtection="1">
      <alignment horizontal="center"/>
      <protection locked="0"/>
    </xf>
    <xf numFmtId="168" fontId="22" fillId="40" borderId="17" xfId="0" applyNumberFormat="1" applyFont="1" applyFill="1" applyBorder="1" applyAlignment="1" applyProtection="1">
      <alignment horizontal="center"/>
      <protection locked="0"/>
    </xf>
    <xf numFmtId="168" fontId="22" fillId="40" borderId="16" xfId="0" applyNumberFormat="1" applyFont="1" applyFill="1" applyBorder="1" applyAlignment="1" applyProtection="1">
      <alignment horizontal="center"/>
      <protection locked="0"/>
    </xf>
    <xf numFmtId="0" fontId="49" fillId="36" borderId="102" xfId="0" applyFont="1" applyFill="1" applyBorder="1" applyAlignment="1" applyProtection="1">
      <alignment horizontal="center" vertical="center"/>
      <protection locked="0"/>
    </xf>
    <xf numFmtId="0" fontId="22" fillId="52" borderId="7" xfId="0" applyFont="1" applyFill="1" applyBorder="1" applyProtection="1">
      <protection locked="0"/>
    </xf>
    <xf numFmtId="0" fontId="22" fillId="46" borderId="8" xfId="0" applyFont="1" applyFill="1" applyBorder="1" applyProtection="1">
      <protection locked="0"/>
    </xf>
    <xf numFmtId="0" fontId="22" fillId="47" borderId="8" xfId="0" applyFont="1" applyFill="1" applyBorder="1" applyProtection="1">
      <protection locked="0"/>
    </xf>
    <xf numFmtId="0" fontId="47" fillId="47" borderId="20" xfId="0" applyFont="1" applyFill="1" applyBorder="1" applyProtection="1">
      <protection locked="0"/>
    </xf>
    <xf numFmtId="0" fontId="22" fillId="29" borderId="8" xfId="0" applyFont="1" applyFill="1" applyBorder="1" applyProtection="1">
      <protection locked="0"/>
    </xf>
    <xf numFmtId="184" fontId="22" fillId="27" borderId="16" xfId="0" applyNumberFormat="1" applyFont="1" applyFill="1" applyBorder="1" applyAlignment="1" applyProtection="1">
      <alignment horizontal="left" vertical="center"/>
      <protection locked="0"/>
    </xf>
    <xf numFmtId="179" fontId="22" fillId="28" borderId="56" xfId="0" applyNumberFormat="1" applyFont="1" applyFill="1" applyBorder="1" applyAlignment="1" applyProtection="1">
      <alignment horizontal="left"/>
      <protection locked="0"/>
    </xf>
    <xf numFmtId="0" fontId="22" fillId="26" borderId="121" xfId="0" applyNumberFormat="1" applyFont="1" applyFill="1" applyBorder="1" applyAlignment="1" applyProtection="1">
      <alignment horizontal="center" vertical="center"/>
      <protection locked="0"/>
    </xf>
    <xf numFmtId="180" fontId="22" fillId="26" borderId="56" xfId="0" applyNumberFormat="1" applyFont="1" applyFill="1" applyBorder="1" applyAlignment="1" applyProtection="1">
      <protection locked="0"/>
    </xf>
    <xf numFmtId="0" fontId="24" fillId="36" borderId="30" xfId="0" applyFont="1" applyFill="1" applyBorder="1" applyAlignment="1" applyProtection="1">
      <alignment horizontal="center" vertical="center" wrapText="1"/>
      <protection locked="0"/>
    </xf>
    <xf numFmtId="14" fontId="68" fillId="11" borderId="126" xfId="0" applyNumberFormat="1" applyFont="1" applyFill="1" applyBorder="1" applyAlignment="1" applyProtection="1">
      <alignment horizontal="left" vertical="top" wrapText="1"/>
      <protection locked="0"/>
    </xf>
    <xf numFmtId="9" fontId="27" fillId="0" borderId="144" xfId="0" applyNumberFormat="1" applyFont="1" applyFill="1" applyBorder="1"/>
    <xf numFmtId="167" fontId="27" fillId="0" borderId="88" xfId="0" applyNumberFormat="1" applyFont="1" applyFill="1" applyBorder="1" applyAlignment="1">
      <alignment horizontal="center"/>
    </xf>
    <xf numFmtId="167" fontId="27" fillId="0" borderId="145" xfId="0" applyNumberFormat="1" applyFont="1" applyFill="1" applyBorder="1" applyAlignment="1">
      <alignment horizontal="center"/>
    </xf>
    <xf numFmtId="167" fontId="27" fillId="0" borderId="146" xfId="0" applyNumberFormat="1" applyFont="1" applyFill="1" applyBorder="1" applyAlignment="1">
      <alignment horizontal="center"/>
    </xf>
    <xf numFmtId="167" fontId="27" fillId="0" borderId="66" xfId="0" applyNumberFormat="1" applyFont="1" applyFill="1" applyBorder="1" applyAlignment="1">
      <alignment horizontal="center"/>
    </xf>
    <xf numFmtId="0" fontId="27" fillId="33" borderId="147" xfId="0" applyFont="1" applyFill="1" applyBorder="1"/>
    <xf numFmtId="167" fontId="27" fillId="33" borderId="148" xfId="0" applyNumberFormat="1" applyFont="1" applyFill="1" applyBorder="1" applyAlignment="1">
      <alignment horizontal="center"/>
    </xf>
    <xf numFmtId="167" fontId="27" fillId="33" borderId="149" xfId="0" applyNumberFormat="1" applyFont="1" applyFill="1" applyBorder="1" applyAlignment="1">
      <alignment horizontal="center"/>
    </xf>
    <xf numFmtId="167" fontId="27" fillId="33" borderId="98" xfId="0" applyNumberFormat="1" applyFont="1" applyFill="1" applyBorder="1" applyAlignment="1">
      <alignment horizontal="center"/>
    </xf>
    <xf numFmtId="167" fontId="27" fillId="33" borderId="147" xfId="0" applyNumberFormat="1" applyFont="1" applyFill="1" applyBorder="1" applyAlignment="1">
      <alignment horizontal="center"/>
    </xf>
    <xf numFmtId="0" fontId="25" fillId="43" borderId="131" xfId="0" applyFont="1" applyFill="1" applyBorder="1" applyAlignment="1">
      <alignment horizontal="center" vertical="center" wrapText="1"/>
    </xf>
    <xf numFmtId="0" fontId="24" fillId="0" borderId="54" xfId="0" applyFont="1" applyBorder="1" applyAlignment="1">
      <alignment horizontal="right"/>
    </xf>
    <xf numFmtId="191" fontId="27" fillId="33" borderId="15" xfId="0" applyNumberFormat="1" applyFont="1" applyFill="1" applyBorder="1" applyAlignment="1" applyProtection="1">
      <alignment vertical="center"/>
      <protection locked="0"/>
    </xf>
    <xf numFmtId="170" fontId="27" fillId="33" borderId="136" xfId="0" applyNumberFormat="1" applyFont="1" applyFill="1" applyBorder="1" applyAlignment="1" applyProtection="1">
      <alignment vertical="center"/>
      <protection locked="0"/>
    </xf>
    <xf numFmtId="170" fontId="27" fillId="33" borderId="7" xfId="0" applyNumberFormat="1" applyFont="1" applyFill="1" applyBorder="1" applyAlignment="1" applyProtection="1">
      <alignment vertical="center"/>
      <protection locked="0"/>
    </xf>
    <xf numFmtId="175" fontId="27" fillId="33" borderId="7" xfId="0" applyNumberFormat="1" applyFont="1" applyFill="1" applyBorder="1" applyAlignment="1" applyProtection="1">
      <alignment vertical="center"/>
      <protection locked="0"/>
    </xf>
    <xf numFmtId="175" fontId="27" fillId="51" borderId="15" xfId="0" applyNumberFormat="1" applyFont="1" applyFill="1" applyBorder="1" applyAlignment="1" applyProtection="1">
      <alignment vertical="center"/>
      <protection locked="0"/>
    </xf>
    <xf numFmtId="191" fontId="27" fillId="33" borderId="13" xfId="0" applyNumberFormat="1" applyFont="1" applyFill="1" applyBorder="1" applyAlignment="1" applyProtection="1">
      <alignment vertical="center"/>
      <protection locked="0"/>
    </xf>
    <xf numFmtId="170" fontId="27" fillId="33" borderId="135" xfId="0" applyNumberFormat="1" applyFont="1" applyFill="1" applyBorder="1" applyAlignment="1" applyProtection="1">
      <alignment vertical="center"/>
      <protection locked="0"/>
    </xf>
    <xf numFmtId="170" fontId="27" fillId="33" borderId="9" xfId="0" applyNumberFormat="1" applyFont="1" applyFill="1" applyBorder="1" applyAlignment="1" applyProtection="1">
      <alignment vertical="center"/>
      <protection locked="0"/>
    </xf>
    <xf numFmtId="175" fontId="27" fillId="33" borderId="9" xfId="0" applyNumberFormat="1" applyFont="1" applyFill="1" applyBorder="1" applyAlignment="1" applyProtection="1">
      <alignment vertical="center"/>
      <protection locked="0"/>
    </xf>
    <xf numFmtId="175" fontId="27" fillId="51" borderId="23" xfId="0" applyNumberFormat="1" applyFont="1" applyFill="1" applyBorder="1" applyAlignment="1" applyProtection="1">
      <alignment vertical="center"/>
      <protection locked="0"/>
    </xf>
    <xf numFmtId="170" fontId="27" fillId="33" borderId="6" xfId="0" applyNumberFormat="1" applyFont="1" applyFill="1" applyBorder="1" applyAlignment="1" applyProtection="1">
      <alignment vertical="center"/>
      <protection locked="0"/>
    </xf>
    <xf numFmtId="170" fontId="27" fillId="33" borderId="61" xfId="0" applyNumberFormat="1" applyFont="1" applyFill="1" applyBorder="1" applyAlignment="1" applyProtection="1">
      <alignment vertical="center"/>
      <protection locked="0"/>
    </xf>
    <xf numFmtId="168" fontId="22" fillId="40" borderId="125" xfId="0" applyNumberFormat="1" applyFont="1" applyFill="1" applyBorder="1" applyAlignment="1" applyProtection="1">
      <alignment horizontal="center"/>
      <protection locked="0"/>
    </xf>
    <xf numFmtId="168" fontId="22" fillId="40" borderId="20" xfId="0" applyNumberFormat="1" applyFont="1" applyFill="1" applyBorder="1" applyAlignment="1" applyProtection="1">
      <alignment horizontal="center"/>
      <protection locked="0"/>
    </xf>
    <xf numFmtId="168" fontId="22" fillId="40" borderId="55" xfId="0" applyNumberFormat="1" applyFont="1" applyFill="1" applyBorder="1" applyAlignment="1" applyProtection="1">
      <alignment horizontal="center"/>
      <protection locked="0"/>
    </xf>
    <xf numFmtId="168" fontId="22" fillId="40" borderId="40" xfId="0" applyNumberFormat="1" applyFont="1" applyFill="1" applyBorder="1" applyAlignment="1" applyProtection="1">
      <alignment horizontal="center"/>
      <protection locked="0"/>
    </xf>
    <xf numFmtId="174" fontId="3" fillId="10" borderId="29" xfId="0" applyNumberFormat="1" applyFont="1" applyFill="1" applyBorder="1"/>
    <xf numFmtId="0" fontId="1" fillId="0" borderId="55" xfId="0" applyFont="1" applyBorder="1"/>
    <xf numFmtId="0" fontId="1" fillId="0" borderId="64" xfId="0" applyFont="1" applyBorder="1"/>
    <xf numFmtId="0" fontId="11" fillId="13" borderId="150" xfId="0" applyFont="1" applyFill="1" applyBorder="1" applyAlignment="1"/>
    <xf numFmtId="0" fontId="15" fillId="23" borderId="133" xfId="0" applyFont="1" applyFill="1" applyBorder="1" applyAlignment="1">
      <alignment horizontal="center" vertical="center"/>
    </xf>
    <xf numFmtId="0" fontId="3" fillId="15" borderId="151" xfId="0" applyFont="1" applyFill="1" applyBorder="1" applyAlignment="1">
      <alignment horizontal="left" vertical="center" wrapText="1"/>
    </xf>
    <xf numFmtId="0" fontId="1" fillId="0" borderId="11" xfId="0" applyFont="1" applyBorder="1"/>
    <xf numFmtId="0" fontId="3" fillId="16" borderId="151" xfId="0" applyFont="1" applyFill="1" applyBorder="1" applyAlignment="1">
      <alignment horizontal="left"/>
    </xf>
    <xf numFmtId="0" fontId="3" fillId="10" borderId="151" xfId="0" applyFont="1" applyFill="1" applyBorder="1" applyAlignment="1">
      <alignment horizontal="left"/>
    </xf>
    <xf numFmtId="0" fontId="3" fillId="17" borderId="151" xfId="0" applyFont="1" applyFill="1" applyBorder="1" applyAlignment="1">
      <alignment horizontal="left"/>
    </xf>
    <xf numFmtId="0" fontId="1" fillId="18" borderId="11" xfId="0" applyFont="1" applyFill="1" applyBorder="1"/>
    <xf numFmtId="0" fontId="1" fillId="19" borderId="11" xfId="0" applyFont="1" applyFill="1" applyBorder="1"/>
    <xf numFmtId="0" fontId="1" fillId="11" borderId="11" xfId="0" applyFont="1" applyFill="1" applyBorder="1"/>
    <xf numFmtId="0" fontId="19" fillId="12" borderId="151" xfId="0" applyFont="1" applyFill="1" applyBorder="1" applyAlignment="1">
      <alignment horizontal="left"/>
    </xf>
    <xf numFmtId="0" fontId="1" fillId="8" borderId="11" xfId="0" applyFont="1" applyFill="1" applyBorder="1"/>
    <xf numFmtId="0" fontId="1" fillId="0" borderId="152" xfId="0" applyFont="1" applyBorder="1"/>
    <xf numFmtId="164" fontId="9" fillId="0" borderId="3" xfId="0" applyNumberFormat="1" applyFont="1" applyBorder="1"/>
    <xf numFmtId="167" fontId="3" fillId="0" borderId="3" xfId="0" applyNumberFormat="1" applyFont="1" applyBorder="1"/>
    <xf numFmtId="0" fontId="1" fillId="0" borderId="54" xfId="0" applyFont="1" applyBorder="1"/>
    <xf numFmtId="0" fontId="1" fillId="0" borderId="154" xfId="0" applyFont="1" applyBorder="1"/>
    <xf numFmtId="0" fontId="1" fillId="0" borderId="19" xfId="0" applyFont="1" applyBorder="1" applyAlignment="1">
      <alignment wrapText="1"/>
    </xf>
    <xf numFmtId="194" fontId="70" fillId="5" borderId="2" xfId="0" applyNumberFormat="1" applyFont="1" applyFill="1" applyBorder="1" applyAlignment="1" applyProtection="1">
      <alignment horizontal="right"/>
      <protection locked="0"/>
    </xf>
    <xf numFmtId="0" fontId="15" fillId="23" borderId="34" xfId="0" applyFont="1" applyFill="1" applyBorder="1" applyAlignment="1">
      <alignment horizontal="center" vertical="center" wrapText="1"/>
    </xf>
    <xf numFmtId="164" fontId="3" fillId="42" borderId="153" xfId="0" applyNumberFormat="1" applyFont="1" applyFill="1" applyBorder="1" applyAlignment="1"/>
    <xf numFmtId="164" fontId="3" fillId="42" borderId="88" xfId="0" applyNumberFormat="1" applyFont="1" applyFill="1" applyBorder="1" applyAlignment="1"/>
    <xf numFmtId="0" fontId="0" fillId="42" borderId="88" xfId="0" applyFont="1" applyFill="1" applyBorder="1" applyAlignment="1"/>
    <xf numFmtId="167" fontId="0" fillId="42" borderId="146" xfId="5" applyNumberFormat="1" applyFont="1" applyFill="1" applyBorder="1" applyAlignment="1"/>
    <xf numFmtId="164" fontId="2" fillId="0" borderId="3" xfId="0" applyNumberFormat="1" applyFont="1" applyFill="1" applyBorder="1"/>
    <xf numFmtId="164" fontId="3" fillId="0" borderId="3" xfId="0" applyNumberFormat="1" applyFont="1" applyFill="1" applyBorder="1"/>
    <xf numFmtId="164" fontId="3" fillId="0" borderId="45" xfId="0" applyNumberFormat="1" applyFont="1" applyFill="1" applyBorder="1"/>
    <xf numFmtId="164" fontId="3" fillId="0" borderId="48" xfId="0" applyNumberFormat="1" applyFont="1" applyFill="1" applyBorder="1"/>
    <xf numFmtId="168" fontId="22" fillId="40" borderId="28" xfId="0" applyNumberFormat="1" applyFont="1" applyFill="1" applyBorder="1" applyAlignment="1" applyProtection="1">
      <alignment horizontal="center"/>
      <protection locked="0"/>
    </xf>
    <xf numFmtId="0" fontId="22" fillId="3" borderId="16" xfId="0" applyNumberFormat="1" applyFont="1" applyFill="1" applyBorder="1" applyAlignment="1" applyProtection="1">
      <alignment horizontal="center" vertical="center"/>
      <protection locked="0"/>
    </xf>
    <xf numFmtId="164" fontId="27" fillId="46" borderId="46" xfId="0" applyNumberFormat="1" applyFont="1" applyFill="1" applyBorder="1"/>
    <xf numFmtId="170" fontId="27" fillId="33" borderId="13" xfId="0" applyNumberFormat="1" applyFont="1" applyFill="1" applyBorder="1" applyAlignment="1" applyProtection="1">
      <alignment vertical="center"/>
      <protection locked="0"/>
    </xf>
    <xf numFmtId="170" fontId="27" fillId="33" borderId="15" xfId="0" applyNumberFormat="1" applyFont="1" applyFill="1" applyBorder="1" applyAlignment="1" applyProtection="1">
      <alignment vertical="center"/>
      <protection locked="0"/>
    </xf>
    <xf numFmtId="170" fontId="27" fillId="33" borderId="14" xfId="0" applyNumberFormat="1" applyFont="1" applyFill="1" applyBorder="1" applyAlignment="1" applyProtection="1">
      <alignment vertical="center"/>
      <protection locked="0"/>
    </xf>
    <xf numFmtId="170" fontId="27" fillId="33" borderId="12" xfId="0" applyNumberFormat="1" applyFont="1" applyFill="1" applyBorder="1" applyAlignment="1" applyProtection="1">
      <alignment vertical="center"/>
      <protection locked="0"/>
    </xf>
    <xf numFmtId="193" fontId="69" fillId="41" borderId="124" xfId="5" applyNumberFormat="1" applyFont="1" applyFill="1" applyBorder="1" applyAlignment="1" applyProtection="1">
      <alignment vertical="center"/>
      <protection locked="0"/>
    </xf>
    <xf numFmtId="195" fontId="27" fillId="41" borderId="124" xfId="5" applyNumberFormat="1" applyFont="1" applyFill="1" applyBorder="1" applyAlignment="1" applyProtection="1">
      <alignment vertical="center"/>
      <protection locked="0"/>
    </xf>
    <xf numFmtId="189" fontId="27" fillId="41" borderId="26" xfId="5" applyNumberFormat="1" applyFont="1" applyFill="1" applyBorder="1" applyAlignment="1" applyProtection="1">
      <alignment vertical="center"/>
      <protection locked="0"/>
    </xf>
    <xf numFmtId="173" fontId="27" fillId="41" borderId="106" xfId="5" applyNumberFormat="1" applyFont="1" applyFill="1" applyBorder="1" applyAlignment="1" applyProtection="1">
      <alignment vertical="center"/>
      <protection locked="0"/>
    </xf>
    <xf numFmtId="193" fontId="27" fillId="41" borderId="26" xfId="5" applyNumberFormat="1" applyFont="1" applyFill="1" applyBorder="1" applyAlignment="1" applyProtection="1">
      <alignment vertical="center"/>
      <protection locked="0"/>
    </xf>
    <xf numFmtId="173" fontId="27" fillId="59" borderId="64" xfId="5" applyNumberFormat="1" applyFont="1" applyFill="1" applyBorder="1" applyAlignment="1" applyProtection="1">
      <alignment vertical="center"/>
      <protection locked="0"/>
    </xf>
    <xf numFmtId="0" fontId="24" fillId="0" borderId="16" xfId="0" applyFont="1" applyBorder="1" applyAlignment="1">
      <alignment horizontal="right"/>
    </xf>
    <xf numFmtId="0" fontId="25" fillId="43" borderId="7" xfId="0" applyFont="1" applyFill="1" applyBorder="1" applyAlignment="1">
      <alignment horizontal="center" vertical="center" wrapText="1"/>
    </xf>
    <xf numFmtId="184" fontId="27" fillId="33" borderId="7" xfId="0" applyNumberFormat="1" applyFont="1" applyFill="1" applyBorder="1" applyAlignment="1" applyProtection="1">
      <alignment horizontal="right"/>
      <protection locked="0"/>
    </xf>
    <xf numFmtId="183" fontId="27" fillId="33" borderId="9" xfId="0" applyNumberFormat="1" applyFont="1" applyFill="1" applyBorder="1" applyAlignment="1" applyProtection="1">
      <alignment horizontal="right"/>
      <protection locked="0"/>
    </xf>
    <xf numFmtId="196" fontId="31" fillId="11" borderId="110" xfId="0" applyNumberFormat="1" applyFont="1" applyFill="1" applyBorder="1" applyAlignment="1" applyProtection="1">
      <alignment horizontal="left" vertical="top" wrapText="1"/>
      <protection locked="0"/>
    </xf>
    <xf numFmtId="1" fontId="27" fillId="0" borderId="35" xfId="0" applyNumberFormat="1" applyFont="1" applyFill="1" applyBorder="1" applyAlignment="1">
      <alignment horizontal="center"/>
    </xf>
    <xf numFmtId="0" fontId="32" fillId="46" borderId="145" xfId="0" applyFont="1" applyFill="1" applyBorder="1" applyAlignment="1" applyProtection="1">
      <protection locked="0"/>
    </xf>
    <xf numFmtId="0" fontId="59" fillId="46" borderId="56" xfId="0" applyFont="1" applyFill="1" applyBorder="1" applyAlignment="1" applyProtection="1">
      <alignment horizontal="center" vertical="top" wrapText="1"/>
      <protection locked="0"/>
    </xf>
    <xf numFmtId="0" fontId="59" fillId="46" borderId="9" xfId="0" applyFont="1" applyFill="1" applyBorder="1" applyAlignment="1" applyProtection="1">
      <alignment horizontal="center" vertical="top" wrapText="1"/>
      <protection locked="0"/>
    </xf>
    <xf numFmtId="0" fontId="24" fillId="36" borderId="102" xfId="0" applyFont="1" applyFill="1" applyBorder="1" applyAlignment="1" applyProtection="1">
      <alignment horizontal="center" vertical="center"/>
      <protection locked="0"/>
    </xf>
    <xf numFmtId="0" fontId="24" fillId="36" borderId="27" xfId="0" applyFont="1" applyFill="1" applyBorder="1" applyAlignment="1" applyProtection="1">
      <alignment horizontal="center" vertical="center"/>
      <protection locked="0"/>
    </xf>
    <xf numFmtId="0" fontId="24" fillId="36" borderId="155" xfId="0" applyFont="1" applyFill="1" applyBorder="1" applyAlignment="1" applyProtection="1">
      <alignment horizontal="center" vertical="center"/>
      <protection locked="0"/>
    </xf>
    <xf numFmtId="0" fontId="24" fillId="36" borderId="108" xfId="0" applyFont="1" applyFill="1" applyBorder="1" applyAlignment="1" applyProtection="1">
      <alignment horizontal="center" vertical="center"/>
      <protection locked="0"/>
    </xf>
    <xf numFmtId="197" fontId="31" fillId="11" borderId="110" xfId="0" applyNumberFormat="1" applyFont="1" applyFill="1" applyBorder="1" applyAlignment="1" applyProtection="1">
      <alignment horizontal="left" vertical="top" wrapText="1"/>
      <protection locked="0"/>
    </xf>
    <xf numFmtId="193" fontId="27" fillId="41" borderId="124" xfId="5" applyNumberFormat="1" applyFont="1" applyFill="1" applyBorder="1" applyAlignment="1" applyProtection="1">
      <alignment vertical="center"/>
      <protection locked="0"/>
    </xf>
    <xf numFmtId="14" fontId="33" fillId="23" borderId="103" xfId="0" applyNumberFormat="1" applyFont="1" applyFill="1" applyBorder="1" applyAlignment="1" applyProtection="1">
      <alignment horizontal="left" vertical="top" wrapText="1"/>
      <protection locked="0"/>
    </xf>
    <xf numFmtId="189" fontId="27" fillId="41" borderId="26" xfId="5" applyNumberFormat="1" applyFont="1" applyFill="1" applyBorder="1" applyAlignment="1" applyProtection="1">
      <alignment indent="1"/>
      <protection locked="0"/>
    </xf>
    <xf numFmtId="189" fontId="27" fillId="41" borderId="124" xfId="5" applyNumberFormat="1" applyFont="1" applyFill="1" applyBorder="1" applyAlignment="1" applyProtection="1">
      <alignment vertical="center"/>
      <protection locked="0"/>
    </xf>
    <xf numFmtId="14" fontId="74" fillId="11" borderId="103" xfId="0" applyNumberFormat="1" applyFont="1" applyFill="1" applyBorder="1" applyAlignment="1" applyProtection="1">
      <alignment horizontal="left" vertical="top" wrapText="1"/>
      <protection locked="0"/>
    </xf>
    <xf numFmtId="189" fontId="27" fillId="41" borderId="140" xfId="5" applyNumberFormat="1" applyFont="1" applyFill="1" applyBorder="1" applyAlignment="1" applyProtection="1">
      <alignment vertical="center"/>
      <protection locked="0"/>
    </xf>
    <xf numFmtId="14" fontId="76" fillId="62" borderId="126" xfId="0" applyNumberFormat="1" applyFont="1" applyFill="1" applyBorder="1" applyAlignment="1" applyProtection="1">
      <alignment horizontal="center" vertical="top" wrapText="1"/>
      <protection locked="0"/>
    </xf>
    <xf numFmtId="198" fontId="22" fillId="66" borderId="109" xfId="0" applyNumberFormat="1" applyFont="1" applyFill="1" applyBorder="1" applyAlignment="1"/>
    <xf numFmtId="198" fontId="27" fillId="41" borderId="109" xfId="5" applyNumberFormat="1" applyFont="1" applyFill="1" applyBorder="1" applyAlignment="1" applyProtection="1">
      <alignment vertical="center"/>
      <protection locked="0"/>
    </xf>
    <xf numFmtId="173" fontId="27" fillId="41" borderId="109" xfId="5" applyNumberFormat="1" applyFont="1" applyFill="1" applyBorder="1" applyAlignment="1" applyProtection="1">
      <alignment vertical="center"/>
      <protection locked="0"/>
    </xf>
    <xf numFmtId="173" fontId="27" fillId="41" borderId="26" xfId="5" applyNumberFormat="1" applyFont="1" applyFill="1" applyBorder="1" applyAlignment="1" applyProtection="1">
      <alignment vertical="center"/>
      <protection locked="0"/>
    </xf>
    <xf numFmtId="169" fontId="45" fillId="0" borderId="27" xfId="0" applyNumberFormat="1" applyFont="1" applyFill="1" applyBorder="1" applyAlignment="1">
      <alignment horizontal="center"/>
    </xf>
    <xf numFmtId="0" fontId="72" fillId="8" borderId="4" xfId="8" applyFont="1" applyFill="1" applyBorder="1" applyAlignment="1">
      <alignment horizontal="center"/>
    </xf>
    <xf numFmtId="0" fontId="73" fillId="8" borderId="4" xfId="8" applyFont="1" applyFill="1" applyBorder="1" applyAlignment="1">
      <alignment horizontal="center"/>
    </xf>
    <xf numFmtId="0" fontId="15" fillId="62" borderId="1" xfId="0" applyFont="1" applyFill="1" applyBorder="1" applyAlignment="1">
      <alignment horizontal="center" vertical="center"/>
    </xf>
    <xf numFmtId="0" fontId="15" fillId="62" borderId="2" xfId="0" applyFont="1" applyFill="1" applyBorder="1" applyAlignment="1">
      <alignment horizontal="center" vertical="center"/>
    </xf>
    <xf numFmtId="0" fontId="71" fillId="42" borderId="44" xfId="0" applyFont="1" applyFill="1" applyBorder="1" applyAlignment="1">
      <alignment horizontal="center" vertical="center"/>
    </xf>
    <xf numFmtId="0" fontId="71" fillId="42" borderId="36" xfId="0" applyFont="1" applyFill="1" applyBorder="1" applyAlignment="1">
      <alignment horizontal="center" vertical="center"/>
    </xf>
    <xf numFmtId="0" fontId="71" fillId="42" borderId="133" xfId="0" applyFont="1" applyFill="1" applyBorder="1" applyAlignment="1">
      <alignment horizontal="center" vertical="center"/>
    </xf>
    <xf numFmtId="169" fontId="45" fillId="0" borderId="27" xfId="0" applyNumberFormat="1" applyFont="1" applyFill="1" applyBorder="1" applyAlignment="1">
      <alignment horizontal="center"/>
    </xf>
    <xf numFmtId="0" fontId="11" fillId="8" borderId="32" xfId="0" applyFont="1" applyFill="1" applyBorder="1" applyAlignment="1">
      <alignment horizontal="center" wrapText="1"/>
    </xf>
    <xf numFmtId="165" fontId="30" fillId="13" borderId="3" xfId="0" applyNumberFormat="1" applyFont="1" applyFill="1" applyBorder="1" applyAlignment="1">
      <alignment horizontal="left" vertical="center"/>
    </xf>
    <xf numFmtId="165" fontId="30" fillId="13" borderId="4" xfId="0" applyNumberFormat="1" applyFont="1" applyFill="1" applyBorder="1" applyAlignment="1">
      <alignment horizontal="left" vertical="center"/>
    </xf>
    <xf numFmtId="0" fontId="64" fillId="63" borderId="36" xfId="0" applyFont="1" applyFill="1" applyBorder="1" applyAlignment="1">
      <alignment horizontal="left" vertical="top" wrapText="1"/>
    </xf>
    <xf numFmtId="0" fontId="64" fillId="63" borderId="41" xfId="0" applyFont="1" applyFill="1" applyBorder="1" applyAlignment="1">
      <alignment horizontal="left" vertical="top" wrapText="1"/>
    </xf>
    <xf numFmtId="0" fontId="63" fillId="63" borderId="99" xfId="0" applyNumberFormat="1" applyFont="1" applyFill="1" applyBorder="1" applyAlignment="1">
      <alignment horizontal="center" vertical="center" wrapText="1"/>
    </xf>
    <xf numFmtId="0" fontId="63" fillId="63" borderId="100" xfId="0" applyNumberFormat="1" applyFont="1" applyFill="1" applyBorder="1" applyAlignment="1">
      <alignment horizontal="center" vertical="center" wrapText="1"/>
    </xf>
    <xf numFmtId="165" fontId="30" fillId="13" borderId="53" xfId="0" applyNumberFormat="1" applyFont="1" applyFill="1" applyBorder="1" applyAlignment="1">
      <alignment horizontal="left" vertical="center"/>
    </xf>
    <xf numFmtId="165" fontId="26" fillId="25" borderId="31" xfId="0" applyNumberFormat="1" applyFont="1" applyFill="1" applyBorder="1" applyAlignment="1">
      <alignment horizontal="left" vertical="center"/>
    </xf>
    <xf numFmtId="165" fontId="26" fillId="25" borderId="40" xfId="0" applyNumberFormat="1" applyFont="1" applyFill="1" applyBorder="1" applyAlignment="1">
      <alignment horizontal="left" vertical="center"/>
    </xf>
    <xf numFmtId="192" fontId="66" fillId="38" borderId="12" xfId="0" applyNumberFormat="1" applyFont="1" applyFill="1" applyBorder="1" applyAlignment="1">
      <alignment horizontal="center" vertical="center"/>
    </xf>
    <xf numFmtId="0" fontId="35" fillId="0" borderId="95" xfId="0" applyFont="1" applyFill="1" applyBorder="1" applyAlignment="1">
      <alignment horizontal="center" vertical="center" textRotation="90"/>
    </xf>
    <xf numFmtId="0" fontId="35" fillId="0" borderId="96" xfId="0" applyFont="1" applyFill="1" applyBorder="1" applyAlignment="1">
      <alignment horizontal="center" vertical="center" textRotation="90"/>
    </xf>
    <xf numFmtId="0" fontId="35" fillId="0" borderId="28" xfId="0" applyFont="1" applyFill="1" applyBorder="1" applyAlignment="1">
      <alignment horizontal="center" vertical="center" textRotation="90"/>
    </xf>
    <xf numFmtId="165" fontId="26" fillId="7" borderId="36" xfId="0" applyNumberFormat="1" applyFont="1" applyFill="1" applyBorder="1" applyAlignment="1">
      <alignment horizontal="left"/>
    </xf>
    <xf numFmtId="165" fontId="26" fillId="7" borderId="41" xfId="0" applyNumberFormat="1" applyFont="1" applyFill="1" applyBorder="1" applyAlignment="1">
      <alignment horizontal="left"/>
    </xf>
    <xf numFmtId="0" fontId="23" fillId="38" borderId="39" xfId="0" applyFont="1" applyFill="1" applyBorder="1" applyAlignment="1">
      <alignment horizontal="center" textRotation="90"/>
    </xf>
    <xf numFmtId="0" fontId="23" fillId="38" borderId="28" xfId="0" applyFont="1" applyFill="1" applyBorder="1" applyAlignment="1">
      <alignment horizontal="center" textRotation="90"/>
    </xf>
    <xf numFmtId="0" fontId="23" fillId="38" borderId="61" xfId="0" applyFont="1" applyFill="1" applyBorder="1" applyAlignment="1">
      <alignment horizontal="center" textRotation="90"/>
    </xf>
    <xf numFmtId="0" fontId="53" fillId="61" borderId="17" xfId="0" applyFont="1" applyFill="1" applyBorder="1" applyAlignment="1" applyProtection="1">
      <alignment horizontal="left" vertical="top" wrapText="1"/>
      <protection locked="0"/>
    </xf>
    <xf numFmtId="0" fontId="53" fillId="61" borderId="10" xfId="0" applyFont="1" applyFill="1" applyBorder="1" applyAlignment="1" applyProtection="1">
      <alignment horizontal="left" vertical="top" wrapText="1"/>
      <protection locked="0"/>
    </xf>
    <xf numFmtId="0" fontId="28" fillId="11" borderId="110" xfId="0" applyFont="1" applyFill="1" applyBorder="1" applyAlignment="1" applyProtection="1">
      <alignment horizontal="center" vertical="center"/>
      <protection locked="0"/>
    </xf>
    <xf numFmtId="0" fontId="28" fillId="11" borderId="107" xfId="0" applyFont="1" applyFill="1" applyBorder="1" applyAlignment="1" applyProtection="1">
      <alignment horizontal="center" vertical="center"/>
      <protection locked="0"/>
    </xf>
    <xf numFmtId="0" fontId="22" fillId="11" borderId="110" xfId="0" applyFont="1" applyFill="1" applyBorder="1" applyAlignment="1" applyProtection="1">
      <alignment horizontal="center" vertical="center"/>
      <protection locked="0"/>
    </xf>
    <xf numFmtId="0" fontId="22" fillId="11" borderId="107" xfId="0" applyFont="1" applyFill="1" applyBorder="1" applyAlignment="1" applyProtection="1">
      <alignment horizontal="center" vertical="center"/>
      <protection locked="0"/>
    </xf>
    <xf numFmtId="0" fontId="22" fillId="11" borderId="110" xfId="0" applyFont="1" applyFill="1" applyBorder="1" applyAlignment="1" applyProtection="1">
      <alignment horizontal="center" vertical="center" wrapText="1"/>
      <protection locked="0"/>
    </xf>
    <xf numFmtId="0" fontId="22" fillId="11" borderId="107" xfId="0" applyFont="1" applyFill="1" applyBorder="1" applyAlignment="1" applyProtection="1">
      <alignment horizontal="center" vertical="center" wrapText="1"/>
      <protection locked="0"/>
    </xf>
    <xf numFmtId="0" fontId="56" fillId="48" borderId="24" xfId="0" applyFont="1" applyFill="1" applyBorder="1" applyAlignment="1" applyProtection="1">
      <alignment horizontal="right" vertical="center"/>
      <protection locked="0"/>
    </xf>
    <xf numFmtId="0" fontId="56" fillId="48" borderId="54" xfId="0" applyFont="1" applyFill="1" applyBorder="1" applyAlignment="1" applyProtection="1">
      <alignment horizontal="right" vertical="center"/>
      <protection locked="0"/>
    </xf>
    <xf numFmtId="0" fontId="22" fillId="37" borderId="17" xfId="0" applyFont="1" applyFill="1" applyBorder="1" applyAlignment="1" applyProtection="1">
      <alignment horizontal="left" vertical="center"/>
      <protection locked="0"/>
    </xf>
    <xf numFmtId="0" fontId="22" fillId="37" borderId="10" xfId="0" applyFont="1" applyFill="1" applyBorder="1" applyAlignment="1" applyProtection="1">
      <alignment horizontal="left" vertical="center"/>
      <protection locked="0"/>
    </xf>
    <xf numFmtId="0" fontId="27" fillId="38" borderId="17" xfId="0" applyFont="1" applyFill="1" applyBorder="1" applyAlignment="1" applyProtection="1">
      <alignment horizontal="center" vertical="center" wrapText="1"/>
      <protection locked="0"/>
    </xf>
    <xf numFmtId="0" fontId="27" fillId="38" borderId="10" xfId="0" applyFont="1" applyFill="1" applyBorder="1" applyAlignment="1" applyProtection="1">
      <alignment horizontal="center" vertical="center" wrapText="1"/>
      <protection locked="0"/>
    </xf>
    <xf numFmtId="0" fontId="27" fillId="41" borderId="17" xfId="0" applyFont="1" applyFill="1" applyBorder="1" applyAlignment="1" applyProtection="1">
      <alignment horizontal="center" vertical="center" wrapText="1"/>
      <protection locked="0"/>
    </xf>
    <xf numFmtId="0" fontId="27" fillId="41" borderId="10" xfId="0" applyFont="1" applyFill="1" applyBorder="1" applyAlignment="1" applyProtection="1">
      <alignment horizontal="center" vertical="center" wrapText="1"/>
      <protection locked="0"/>
    </xf>
    <xf numFmtId="0" fontId="31" fillId="48" borderId="105" xfId="0" applyFont="1" applyFill="1" applyBorder="1" applyAlignment="1" applyProtection="1">
      <alignment horizontal="left" vertical="center" wrapText="1"/>
      <protection locked="0"/>
    </xf>
    <xf numFmtId="0" fontId="31" fillId="48" borderId="31" xfId="0" applyFont="1" applyFill="1" applyBorder="1" applyAlignment="1" applyProtection="1">
      <alignment horizontal="left" vertical="center" wrapText="1"/>
      <protection locked="0"/>
    </xf>
    <xf numFmtId="165" fontId="26" fillId="24" borderId="32" xfId="0" applyNumberFormat="1" applyFont="1" applyFill="1" applyBorder="1" applyAlignment="1">
      <alignment horizontal="left"/>
    </xf>
    <xf numFmtId="165" fontId="26" fillId="24" borderId="65" xfId="0" applyNumberFormat="1" applyFont="1" applyFill="1" applyBorder="1" applyAlignment="1">
      <alignment horizontal="left"/>
    </xf>
    <xf numFmtId="0" fontId="59" fillId="46" borderId="156" xfId="0" applyFont="1" applyFill="1" applyBorder="1" applyAlignment="1" applyProtection="1">
      <alignment horizontal="center" vertical="top" wrapText="1"/>
      <protection locked="0"/>
    </xf>
    <xf numFmtId="0" fontId="59" fillId="46" borderId="157" xfId="0" applyFont="1" applyFill="1" applyBorder="1" applyAlignment="1" applyProtection="1">
      <alignment horizontal="center" vertical="top" wrapText="1"/>
      <protection locked="0"/>
    </xf>
    <xf numFmtId="0" fontId="50" fillId="60" borderId="47" xfId="0" applyNumberFormat="1" applyFont="1" applyFill="1" applyBorder="1" applyAlignment="1">
      <alignment horizontal="center" vertical="top" wrapText="1"/>
    </xf>
    <xf numFmtId="0" fontId="50" fillId="60" borderId="33" xfId="0" applyNumberFormat="1" applyFont="1" applyFill="1" applyBorder="1" applyAlignment="1">
      <alignment horizontal="center" vertical="top" wrapText="1"/>
    </xf>
    <xf numFmtId="0" fontId="22" fillId="11" borderId="17" xfId="0" applyFont="1" applyFill="1" applyBorder="1" applyAlignment="1" applyProtection="1">
      <alignment horizontal="left" vertical="center"/>
      <protection locked="0"/>
    </xf>
    <xf numFmtId="0" fontId="22" fillId="11" borderId="10" xfId="0" applyFont="1" applyFill="1" applyBorder="1" applyAlignment="1" applyProtection="1">
      <alignment horizontal="left" vertical="center"/>
      <protection locked="0"/>
    </xf>
    <xf numFmtId="0" fontId="22" fillId="38" borderId="17" xfId="0" applyFont="1" applyFill="1" applyBorder="1" applyAlignment="1" applyProtection="1">
      <alignment horizontal="left" vertical="center"/>
      <protection locked="0"/>
    </xf>
    <xf numFmtId="0" fontId="22" fillId="38" borderId="10" xfId="0" applyFont="1" applyFill="1" applyBorder="1" applyAlignment="1" applyProtection="1">
      <alignment horizontal="left" vertical="center"/>
      <protection locked="0"/>
    </xf>
    <xf numFmtId="0" fontId="22" fillId="47" borderId="79" xfId="0" applyFont="1" applyFill="1" applyBorder="1" applyAlignment="1" applyProtection="1">
      <alignment horizontal="left" vertical="center"/>
      <protection locked="0"/>
    </xf>
    <xf numFmtId="0" fontId="22" fillId="47" borderId="55" xfId="0" applyFont="1" applyFill="1" applyBorder="1" applyAlignment="1" applyProtection="1">
      <alignment horizontal="left" vertical="center"/>
      <protection locked="0"/>
    </xf>
    <xf numFmtId="0" fontId="28" fillId="25" borderId="6" xfId="0" applyFont="1" applyFill="1" applyBorder="1" applyAlignment="1" applyProtection="1">
      <alignment horizontal="left" vertical="center"/>
      <protection locked="0"/>
    </xf>
    <xf numFmtId="0" fontId="28" fillId="25" borderId="14" xfId="0" applyFont="1" applyFill="1" applyBorder="1" applyAlignment="1" applyProtection="1">
      <alignment horizontal="left" vertical="center"/>
      <protection locked="0"/>
    </xf>
    <xf numFmtId="165" fontId="30" fillId="39" borderId="31" xfId="0" applyNumberFormat="1" applyFont="1" applyFill="1" applyBorder="1" applyAlignment="1">
      <alignment horizontal="left" vertical="center"/>
    </xf>
    <xf numFmtId="165" fontId="30" fillId="39" borderId="40" xfId="0" applyNumberFormat="1" applyFont="1" applyFill="1" applyBorder="1" applyAlignment="1">
      <alignment horizontal="left" vertical="center"/>
    </xf>
    <xf numFmtId="165" fontId="30" fillId="0" borderId="89" xfId="0" applyNumberFormat="1" applyFont="1" applyFill="1" applyBorder="1" applyAlignment="1">
      <alignment horizontal="center"/>
    </xf>
    <xf numFmtId="165" fontId="30" fillId="0" borderId="72" xfId="0" applyNumberFormat="1" applyFont="1" applyFill="1" applyBorder="1" applyAlignment="1">
      <alignment horizontal="center"/>
    </xf>
    <xf numFmtId="0" fontId="52" fillId="38" borderId="112" xfId="0" applyFont="1" applyFill="1" applyBorder="1" applyAlignment="1" applyProtection="1">
      <alignment horizontal="center" vertical="center"/>
      <protection locked="0"/>
    </xf>
    <xf numFmtId="0" fontId="52" fillId="38" borderId="129" xfId="0" applyFont="1" applyFill="1" applyBorder="1" applyAlignment="1" applyProtection="1">
      <alignment horizontal="center" vertical="center"/>
      <protection locked="0"/>
    </xf>
    <xf numFmtId="0" fontId="56" fillId="48" borderId="17" xfId="0" applyFont="1" applyFill="1" applyBorder="1" applyAlignment="1" applyProtection="1">
      <alignment horizontal="center" vertical="center"/>
      <protection locked="0"/>
    </xf>
    <xf numFmtId="0" fontId="56" fillId="48" borderId="10" xfId="0" applyFont="1" applyFill="1" applyBorder="1" applyAlignment="1" applyProtection="1">
      <alignment horizontal="center" vertical="center"/>
      <protection locked="0"/>
    </xf>
    <xf numFmtId="0" fontId="28" fillId="25" borderId="22" xfId="0" applyFont="1" applyFill="1" applyBorder="1" applyAlignment="1" applyProtection="1">
      <alignment horizontal="left" vertical="center"/>
      <protection locked="0"/>
    </xf>
    <xf numFmtId="0" fontId="28" fillId="25" borderId="21" xfId="0" applyFont="1" applyFill="1" applyBorder="1" applyAlignment="1" applyProtection="1">
      <alignment horizontal="left" vertical="center"/>
      <protection locked="0"/>
    </xf>
    <xf numFmtId="0" fontId="58" fillId="46" borderId="28" xfId="0" applyFont="1" applyFill="1" applyBorder="1" applyAlignment="1" applyProtection="1">
      <alignment horizontal="center" vertical="center"/>
      <protection locked="0"/>
    </xf>
    <xf numFmtId="0" fontId="58" fillId="46" borderId="4" xfId="0" applyFont="1" applyFill="1" applyBorder="1" applyAlignment="1" applyProtection="1">
      <alignment horizontal="center" vertical="center"/>
      <protection locked="0"/>
    </xf>
    <xf numFmtId="175" fontId="56" fillId="35" borderId="16" xfId="0" applyNumberFormat="1" applyFont="1" applyFill="1" applyBorder="1" applyAlignment="1" applyProtection="1">
      <alignment horizontal="right" vertical="center"/>
      <protection locked="0"/>
    </xf>
    <xf numFmtId="175" fontId="56" fillId="35" borderId="25" xfId="0" applyNumberFormat="1" applyFont="1" applyFill="1" applyBorder="1" applyAlignment="1" applyProtection="1">
      <alignment horizontal="right" vertical="center"/>
      <protection locked="0"/>
    </xf>
    <xf numFmtId="175" fontId="56" fillId="35" borderId="54" xfId="0" applyNumberFormat="1" applyFont="1" applyFill="1" applyBorder="1" applyAlignment="1" applyProtection="1">
      <alignment horizontal="right" vertical="center"/>
      <protection locked="0"/>
    </xf>
    <xf numFmtId="175" fontId="56" fillId="35" borderId="24" xfId="0" applyNumberFormat="1" applyFont="1" applyFill="1" applyBorder="1" applyAlignment="1" applyProtection="1">
      <alignment horizontal="right" vertical="center"/>
      <protection locked="0"/>
    </xf>
    <xf numFmtId="175" fontId="56" fillId="35" borderId="139" xfId="0" applyNumberFormat="1" applyFont="1" applyFill="1" applyBorder="1" applyAlignment="1" applyProtection="1">
      <alignment horizontal="right" vertical="center"/>
      <protection locked="0"/>
    </xf>
    <xf numFmtId="170" fontId="56" fillId="48" borderId="81" xfId="0" applyNumberFormat="1" applyFont="1" applyFill="1" applyBorder="1" applyAlignment="1" applyProtection="1">
      <alignment horizontal="right" vertical="center"/>
      <protection locked="0"/>
    </xf>
    <xf numFmtId="0" fontId="77" fillId="61" borderId="6" xfId="0" applyFont="1" applyFill="1" applyBorder="1" applyAlignment="1" applyProtection="1">
      <alignment horizontal="center" wrapText="1"/>
      <protection locked="0"/>
    </xf>
    <xf numFmtId="0" fontId="78" fillId="61" borderId="14" xfId="0" applyFont="1" applyFill="1" applyBorder="1" applyAlignment="1" applyProtection="1">
      <alignment horizontal="center" wrapText="1"/>
      <protection locked="0"/>
    </xf>
    <xf numFmtId="14" fontId="28" fillId="11" borderId="117" xfId="0" applyNumberFormat="1" applyFont="1" applyFill="1" applyBorder="1" applyAlignment="1" applyProtection="1">
      <alignment horizontal="center" vertical="top" wrapText="1"/>
      <protection locked="0"/>
    </xf>
  </cellXfs>
  <cellStyles count="10">
    <cellStyle name="Buena" xfId="1" builtinId="26"/>
    <cellStyle name="Encabezado 4" xfId="7" builtinId="19"/>
    <cellStyle name="Hipervínculo" xfId="8" builtinId="8"/>
    <cellStyle name="Hyperlink" xfId="9"/>
    <cellStyle name="Moneda" xfId="5" builtinId="4"/>
    <cellStyle name="Moneda 2" xfId="4"/>
    <cellStyle name="Normal" xfId="0" builtinId="0"/>
    <cellStyle name="Normal 2" xfId="2"/>
    <cellStyle name="Porcentaje" xfId="6" builtinId="5"/>
    <cellStyle name="Porcentual 2" xfId="3"/>
  </cellStyles>
  <dxfs count="34">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ont>
        <b/>
        <i val="0"/>
        <color theme="5" tint="-0.24994659260841701"/>
      </font>
      <fill>
        <patternFill>
          <bgColor theme="7" tint="0.79998168889431442"/>
        </patternFill>
      </fill>
    </dxf>
    <dxf>
      <font>
        <b/>
        <i val="0"/>
        <color theme="1"/>
      </font>
      <fill>
        <gradientFill degree="270">
          <stop position="0">
            <color rgb="FF00FFFF"/>
          </stop>
          <stop position="1">
            <color theme="7" tint="0.40000610370189521"/>
          </stop>
        </gradientFill>
      </fill>
      <border>
        <left style="thin">
          <color theme="1"/>
        </left>
        <right style="thin">
          <color theme="1"/>
        </right>
        <top style="thin">
          <color theme="1"/>
        </top>
        <bottom style="thin">
          <color theme="1"/>
        </bottom>
      </border>
    </dxf>
    <dxf>
      <fill>
        <patternFill>
          <bgColor theme="0"/>
        </patternFill>
      </fill>
    </dxf>
    <dxf>
      <font>
        <color theme="7" tint="0.39994506668294322"/>
      </font>
      <fill>
        <patternFill>
          <bgColor theme="7" tint="0.39994506668294322"/>
        </patternFill>
      </fill>
    </dxf>
    <dxf>
      <fill>
        <patternFill>
          <bgColor theme="7" tint="0.39994506668294322"/>
        </patternFill>
      </fill>
    </dxf>
    <dxf>
      <fill>
        <patternFill>
          <bgColor theme="7" tint="0.39994506668294322"/>
        </patternFill>
      </fill>
    </dxf>
    <dxf>
      <font>
        <color theme="0"/>
      </font>
    </dxf>
    <dxf>
      <font>
        <b/>
        <i val="0"/>
        <color theme="1"/>
      </font>
      <fill>
        <patternFill>
          <bgColor rgb="FFFFC7CE"/>
        </patternFill>
      </fill>
    </dxf>
    <dxf>
      <fill>
        <patternFill patternType="solid">
          <fgColor rgb="FF7AD592"/>
          <bgColor theme="7" tint="0.39994506668294322"/>
        </patternFill>
      </fill>
    </dxf>
    <dxf>
      <fill>
        <patternFill patternType="solid">
          <fgColor rgb="FFF6B3AE"/>
          <bgColor theme="5" tint="0.39994506668294322"/>
        </pattern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ont>
        <b/>
        <i val="0"/>
        <color theme="5" tint="-0.24994659260841701"/>
      </font>
      <fill>
        <patternFill>
          <bgColor theme="7" tint="0.79998168889431442"/>
        </patternFill>
      </fill>
    </dxf>
    <dxf>
      <font>
        <b/>
        <i val="0"/>
        <color theme="1"/>
      </font>
      <fill>
        <gradientFill degree="270">
          <stop position="0">
            <color rgb="FF00FFFF"/>
          </stop>
          <stop position="1">
            <color theme="7" tint="0.40000610370189521"/>
          </stop>
        </gradientFill>
      </fill>
      <border>
        <left style="thin">
          <color theme="1"/>
        </left>
        <right style="thin">
          <color theme="1"/>
        </right>
        <top style="thin">
          <color theme="1"/>
        </top>
        <bottom style="thin">
          <color theme="1"/>
        </bottom>
      </border>
    </dxf>
    <dxf>
      <font>
        <color theme="0"/>
      </font>
    </dxf>
    <dxf>
      <font>
        <b/>
        <i val="0"/>
      </font>
      <fill>
        <patternFill patternType="solid">
          <fgColor auto="1"/>
          <bgColor theme="5" tint="0.39994506668294322"/>
        </patternFill>
      </fill>
    </dxf>
    <dxf>
      <font>
        <b/>
        <i val="0"/>
      </font>
      <fill>
        <patternFill patternType="solid">
          <fgColor auto="1"/>
          <bgColor theme="5" tint="0.39994506668294322"/>
        </patternFill>
      </fill>
    </dxf>
    <dxf>
      <fill>
        <patternFill>
          <bgColor theme="0"/>
        </patternFill>
      </fill>
    </dxf>
    <dxf>
      <font>
        <color theme="7" tint="0.39994506668294322"/>
      </font>
      <fill>
        <patternFill>
          <bgColor theme="7" tint="0.39994506668294322"/>
        </patternFill>
      </fill>
    </dxf>
    <dxf>
      <fill>
        <patternFill>
          <bgColor theme="7" tint="0.39994506668294322"/>
        </patternFill>
      </fill>
    </dxf>
    <dxf>
      <font>
        <color theme="0"/>
      </font>
      <fill>
        <patternFill patternType="solid">
          <bgColor theme="0"/>
        </patternFill>
      </fill>
      <border>
        <left/>
        <right/>
        <top/>
        <bottom/>
      </border>
    </dxf>
    <dxf>
      <fill>
        <patternFill>
          <bgColor theme="7" tint="0.39994506668294322"/>
        </patternFill>
      </fill>
    </dxf>
    <dxf>
      <font>
        <color theme="0"/>
      </font>
      <fill>
        <patternFill patternType="solid">
          <bgColor theme="0"/>
        </patternFill>
      </fill>
      <border>
        <left style="thin">
          <color auto="1"/>
        </left>
        <right style="thin">
          <color auto="1"/>
        </right>
        <top/>
        <bottom/>
      </border>
    </dxf>
    <dxf>
      <font>
        <color theme="0"/>
      </font>
    </dxf>
    <dxf>
      <fill>
        <patternFill>
          <bgColor theme="5" tint="0.39994506668294322"/>
        </patternFill>
      </fill>
    </dxf>
    <dxf>
      <font>
        <b/>
        <i val="0"/>
        <color theme="1"/>
      </font>
      <fill>
        <patternFill>
          <bgColor rgb="FFFFC7CE"/>
        </patternFill>
      </fill>
    </dxf>
    <dxf>
      <fill>
        <patternFill patternType="solid">
          <fgColor rgb="FF7AD592"/>
          <bgColor theme="7" tint="0.39994506668294322"/>
        </patternFill>
      </fill>
    </dxf>
    <dxf>
      <fill>
        <patternFill patternType="solid">
          <fgColor rgb="FFF6B3AE"/>
          <bgColor theme="5" tint="0.39994506668294322"/>
        </patternFill>
      </fill>
    </dxf>
  </dxfs>
  <tableStyles count="0" defaultTableStyle="TableStyleMedium2" defaultPivotStyle="PivotStyleLight16"/>
  <colors>
    <mruColors>
      <color rgb="FFFFFF9F"/>
      <color rgb="FF00FFFF"/>
      <color rgb="FFD3F1DB"/>
      <color rgb="FF7FCAFD"/>
      <color rgb="FFDCF4E3"/>
      <color rgb="FFFFFFC5"/>
      <color rgb="FFFDEAE9"/>
      <color rgb="FFC9F3FB"/>
      <color rgb="FFFCDEDC"/>
      <color rgb="FFD1F1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51288</xdr:colOff>
      <xdr:row>63</xdr:row>
      <xdr:rowOff>79574</xdr:rowOff>
    </xdr:from>
    <xdr:to>
      <xdr:col>12</xdr:col>
      <xdr:colOff>0</xdr:colOff>
      <xdr:row>85</xdr:row>
      <xdr:rowOff>56621</xdr:rowOff>
    </xdr:to>
    <xdr:sp macro="" textlink="">
      <xdr:nvSpPr>
        <xdr:cNvPr id="18" name="17 Rectángulo redondeado">
          <a:extLst>
            <a:ext uri="{FF2B5EF4-FFF2-40B4-BE49-F238E27FC236}">
              <a16:creationId xmlns:a16="http://schemas.microsoft.com/office/drawing/2014/main" xmlns="" id="{00000000-0008-0000-0000-000012000000}"/>
            </a:ext>
          </a:extLst>
        </xdr:cNvPr>
        <xdr:cNvSpPr/>
      </xdr:nvSpPr>
      <xdr:spPr>
        <a:xfrm>
          <a:off x="51288" y="16286728"/>
          <a:ext cx="12334550" cy="4329239"/>
        </a:xfrm>
        <a:prstGeom prst="roundRect">
          <a:avLst>
            <a:gd name="adj" fmla="val 5048"/>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l"/>
          <a:r>
            <a:rPr lang="es-ES" sz="1100" b="1">
              <a:latin typeface="Calibri" panose="020F0502020204030204" pitchFamily="34" charset="0"/>
              <a:cs typeface="Calibri" panose="020F0502020204030204" pitchFamily="34" charset="0"/>
            </a:rPr>
            <a:t>INSTRUCCIONES: Ojo, en 2024 el IVA fue</a:t>
          </a:r>
          <a:r>
            <a:rPr lang="es-ES" sz="1100" b="1" baseline="0">
              <a:latin typeface="Calibri" panose="020F0502020204030204" pitchFamily="34" charset="0"/>
              <a:cs typeface="Calibri" panose="020F0502020204030204" pitchFamily="34" charset="0"/>
            </a:rPr>
            <a:t> el 10%, tenlo en cuenta al comparar facturas, ya es el 21%</a:t>
          </a:r>
          <a:endParaRPr lang="es-ES" sz="1100" b="1">
            <a:latin typeface="Calibri" panose="020F0502020204030204" pitchFamily="34" charset="0"/>
            <a:cs typeface="Calibri" panose="020F0502020204030204" pitchFamily="34" charset="0"/>
          </a:endParaRPr>
        </a:p>
        <a:p>
          <a:pPr algn="l"/>
          <a:r>
            <a:rPr lang="es-ES" sz="1100" b="0">
              <a:latin typeface="Calibri" panose="020F0502020204030204" pitchFamily="34" charset="0"/>
              <a:cs typeface="Calibri" panose="020F0502020204030204" pitchFamily="34" charset="0"/>
            </a:rPr>
            <a:t>0. Ten la factura a mano</a:t>
          </a:r>
        </a:p>
        <a:p>
          <a:pPr algn="l"/>
          <a:r>
            <a:rPr lang="es-ES" sz="1100" b="0">
              <a:latin typeface="Calibri" panose="020F0502020204030204" pitchFamily="34" charset="0"/>
              <a:cs typeface="Calibri" panose="020F0502020204030204" pitchFamily="34" charset="0"/>
            </a:rPr>
            <a:t>00. </a:t>
          </a:r>
          <a:r>
            <a:rPr lang="es-ES" sz="1100" b="1">
              <a:latin typeface="Calibri" panose="020F0502020204030204" pitchFamily="34" charset="0"/>
              <a:cs typeface="Calibri" panose="020F0502020204030204" pitchFamily="34" charset="0"/>
            </a:rPr>
            <a:t>Sólo</a:t>
          </a:r>
          <a:r>
            <a:rPr lang="es-ES" sz="1100" b="1" baseline="0">
              <a:latin typeface="Calibri" panose="020F0502020204030204" pitchFamily="34" charset="0"/>
              <a:cs typeface="Calibri" panose="020F0502020204030204" pitchFamily="34" charset="0"/>
            </a:rPr>
            <a:t> deben rellenarse las celdas de color naranja </a:t>
          </a:r>
          <a:r>
            <a:rPr lang="es-ES" sz="1100" b="1">
              <a:latin typeface="Calibri" panose="020F0502020204030204" pitchFamily="34" charset="0"/>
              <a:cs typeface="Calibri" panose="020F0502020204030204" pitchFamily="34" charset="0"/>
            </a:rPr>
            <a:t>zona</a:t>
          </a:r>
          <a:r>
            <a:rPr lang="es-ES" sz="1100" b="1" baseline="0">
              <a:latin typeface="Calibri" panose="020F0502020204030204" pitchFamily="34" charset="0"/>
              <a:cs typeface="Calibri" panose="020F0502020204030204" pitchFamily="34" charset="0"/>
            </a:rPr>
            <a:t> de cálculo</a:t>
          </a:r>
        </a:p>
        <a:p>
          <a:pPr algn="l"/>
          <a:endParaRPr lang="es-ES" sz="1100" b="1">
            <a:latin typeface="Calibri" panose="020F0502020204030204" pitchFamily="34" charset="0"/>
            <a:cs typeface="Calibri" panose="020F0502020204030204" pitchFamily="34" charset="0"/>
          </a:endParaRPr>
        </a:p>
        <a:p>
          <a:pPr algn="l"/>
          <a:r>
            <a:rPr lang="es-ES" sz="1600" b="0">
              <a:latin typeface="Calibri" panose="020F0502020204030204" pitchFamily="34" charset="0"/>
              <a:cs typeface="Calibri" panose="020F0502020204030204" pitchFamily="34" charset="0"/>
            </a:rPr>
            <a:t>1</a:t>
          </a:r>
          <a:r>
            <a:rPr lang="es-ES" sz="1800" b="0">
              <a:latin typeface="Calibri" panose="020F0502020204030204" pitchFamily="34" charset="0"/>
              <a:cs typeface="Calibri" panose="020F0502020204030204" pitchFamily="34" charset="0"/>
            </a:rPr>
            <a:t>.</a:t>
          </a:r>
          <a:r>
            <a:rPr lang="es-ES" sz="1800" b="0" baseline="0">
              <a:latin typeface="Calibri" panose="020F0502020204030204" pitchFamily="34" charset="0"/>
              <a:cs typeface="Calibri" panose="020F0502020204030204" pitchFamily="34" charset="0"/>
            </a:rPr>
            <a:t> </a:t>
          </a:r>
          <a:r>
            <a:rPr lang="es-ES" sz="1600" b="0" baseline="0">
              <a:latin typeface="Calibri" panose="020F0502020204030204" pitchFamily="34" charset="0"/>
              <a:cs typeface="Calibri" panose="020F0502020204030204" pitchFamily="34" charset="0"/>
            </a:rPr>
            <a:t>rellenar </a:t>
          </a:r>
          <a:r>
            <a:rPr lang="es-ES" sz="1600" b="1" baseline="0">
              <a:latin typeface="Calibri" panose="020F0502020204030204" pitchFamily="34" charset="0"/>
              <a:cs typeface="Calibri" panose="020F0502020204030204" pitchFamily="34" charset="0"/>
            </a:rPr>
            <a:t>días facturados</a:t>
          </a:r>
          <a:r>
            <a:rPr lang="es-ES" sz="1600" b="0" baseline="0">
              <a:latin typeface="Calibri" panose="020F0502020204030204" pitchFamily="34" charset="0"/>
              <a:cs typeface="Calibri" panose="020F0502020204030204" pitchFamily="34" charset="0"/>
            </a:rPr>
            <a:t>.</a:t>
          </a:r>
          <a:endParaRPr lang="es-ES" sz="1600" b="1" baseline="0">
            <a:latin typeface="Calibri" panose="020F0502020204030204" pitchFamily="34" charset="0"/>
            <a:cs typeface="Calibri" panose="020F0502020204030204" pitchFamily="34" charset="0"/>
          </a:endParaRPr>
        </a:p>
        <a:p>
          <a:pPr algn="l"/>
          <a:r>
            <a:rPr lang="es-ES" sz="1600" b="0" baseline="0">
              <a:latin typeface="Calibri" panose="020F0502020204030204" pitchFamily="34" charset="0"/>
              <a:cs typeface="Calibri" panose="020F0502020204030204" pitchFamily="34" charset="0"/>
            </a:rPr>
            <a:t>2. datos del suministro. </a:t>
          </a:r>
        </a:p>
        <a:p>
          <a:pPr algn="l"/>
          <a:r>
            <a:rPr lang="es-ES" sz="1600" b="0" baseline="0">
              <a:latin typeface="Calibri" panose="020F0502020204030204" pitchFamily="34" charset="0"/>
              <a:cs typeface="Calibri" panose="020F0502020204030204" pitchFamily="34" charset="0"/>
            </a:rPr>
            <a:t>	·potencia punta </a:t>
          </a:r>
        </a:p>
        <a:p>
          <a:pPr algn="l"/>
          <a:r>
            <a:rPr lang="es-ES" sz="1600" b="0" baseline="0">
              <a:latin typeface="Calibri" panose="020F0502020204030204" pitchFamily="34" charset="0"/>
              <a:cs typeface="Calibri" panose="020F0502020204030204" pitchFamily="34" charset="0"/>
            </a:rPr>
            <a:t>	·potencia valle, </a:t>
          </a:r>
        </a:p>
        <a:p>
          <a:pPr algn="l"/>
          <a:r>
            <a:rPr lang="es-ES" sz="1600" b="0" baseline="0">
              <a:latin typeface="Calibri" panose="020F0502020204030204" pitchFamily="34" charset="0"/>
              <a:cs typeface="Calibri" panose="020F0502020204030204" pitchFamily="34" charset="0"/>
            </a:rPr>
            <a:t>	·Energía por tramos</a:t>
          </a:r>
          <a:r>
            <a:rPr lang="es-ES" sz="1100" b="0" i="0" baseline="0">
              <a:latin typeface="Calibri" panose="020F0502020204030204" pitchFamily="34" charset="0"/>
              <a:cs typeface="Calibri" panose="020F0502020204030204" pitchFamily="34" charset="0"/>
            </a:rPr>
            <a:t>, que puedes encontrarla en tu factura, </a:t>
          </a:r>
          <a:r>
            <a:rPr lang="es-ES" sz="1100" b="1" i="0" baseline="0">
              <a:latin typeface="Calibri" panose="020F0502020204030204" pitchFamily="34" charset="0"/>
              <a:cs typeface="Calibri" panose="020F0502020204030204" pitchFamily="34" charset="0"/>
            </a:rPr>
            <a:t>apartado lecturas del contador</a:t>
          </a:r>
          <a:r>
            <a:rPr lang="es-ES" sz="1100" b="0" i="0" baseline="0">
              <a:latin typeface="Calibri" panose="020F0502020204030204" pitchFamily="34" charset="0"/>
              <a:cs typeface="Calibri" panose="020F0502020204030204" pitchFamily="34" charset="0"/>
            </a:rPr>
            <a:t>.</a:t>
          </a:r>
        </a:p>
        <a:p>
          <a:pPr algn="l"/>
          <a:r>
            <a:rPr lang="es-ES" sz="1100" b="0" i="0" baseline="0">
              <a:latin typeface="Calibri" panose="020F0502020204030204" pitchFamily="34" charset="0"/>
              <a:cs typeface="Calibri" panose="020F0502020204030204" pitchFamily="34" charset="0"/>
            </a:rPr>
            <a:t>·</a:t>
          </a:r>
          <a:r>
            <a:rPr lang="es-ES" sz="2000" b="1" i="0" baseline="0">
              <a:latin typeface="Calibri" panose="020F0502020204030204" pitchFamily="34" charset="0"/>
              <a:cs typeface="Calibri" panose="020F0502020204030204" pitchFamily="34" charset="0"/>
            </a:rPr>
            <a:t>Si no tienes consumos porque entras de nuevas el Excel tambien vale,</a:t>
          </a:r>
          <a:r>
            <a:rPr lang="es-ES" sz="1100" b="0" i="0" baseline="0">
              <a:latin typeface="Calibri" panose="020F0502020204030204" pitchFamily="34" charset="0"/>
              <a:cs typeface="Calibri" panose="020F0502020204030204" pitchFamily="34" charset="0"/>
            </a:rPr>
            <a:t> deja los consumos por defecto,se aproximan a los de un consumidor medio. </a:t>
          </a:r>
        </a:p>
        <a:p>
          <a:pPr algn="l"/>
          <a:r>
            <a:rPr lang="es-ES" sz="1100" b="0" i="0" baseline="0">
              <a:latin typeface="Calibri" panose="020F0502020204030204" pitchFamily="34" charset="0"/>
              <a:cs typeface="Calibri" panose="020F0502020204030204" pitchFamily="34" charset="0"/>
            </a:rPr>
            <a:t>· 3. Viviendas vacías, se recomienda poner consumos a cero, y verás cual es la más barata en fijo (potencia)</a:t>
          </a:r>
        </a:p>
        <a:p>
          <a:pPr algn="l"/>
          <a:endParaRPr lang="es-ES" sz="1100" b="0" i="0" baseline="0">
            <a:latin typeface="Calibri" panose="020F0502020204030204" pitchFamily="34" charset="0"/>
            <a:cs typeface="Calibri" panose="020F0502020204030204" pitchFamily="34" charset="0"/>
          </a:endParaRPr>
        </a:p>
        <a:p>
          <a:pPr algn="l"/>
          <a:endParaRPr lang="es-ES" sz="1100" b="1" baseline="0">
            <a:latin typeface="Calibri" panose="020F0502020204030204" pitchFamily="34" charset="0"/>
            <a:cs typeface="Calibri" panose="020F0502020204030204" pitchFamily="34" charset="0"/>
          </a:endParaRPr>
        </a:p>
        <a:p>
          <a:pPr algn="l"/>
          <a:r>
            <a:rPr lang="es-ES" sz="1100" b="1" baseline="0">
              <a:latin typeface="Calibri" panose="020F0502020204030204" pitchFamily="34" charset="0"/>
              <a:cs typeface="Calibri" panose="020F0502020204030204" pitchFamily="34" charset="0"/>
            </a:rPr>
            <a:t>Resultados</a:t>
          </a:r>
        </a:p>
        <a:p>
          <a:pPr algn="l"/>
          <a:r>
            <a:rPr lang="es-ES" sz="1100" b="0" baseline="0">
              <a:ln>
                <a:noFill/>
              </a:ln>
              <a:latin typeface="Calibri" panose="020F0502020204030204" pitchFamily="34" charset="0"/>
              <a:cs typeface="Calibri" panose="020F0502020204030204" pitchFamily="34" charset="0"/>
            </a:rPr>
            <a:t>· Las tres tarifas más baratas salen señaladas. El importe final es el de una factura.</a:t>
          </a:r>
        </a:p>
        <a:p>
          <a:pPr algn="l"/>
          <a:r>
            <a:rPr lang="es-ES" sz="1100" b="0" baseline="0">
              <a:ln>
                <a:noFill/>
              </a:ln>
              <a:latin typeface="Calibri" panose="020F0502020204030204" pitchFamily="34" charset="0"/>
              <a:cs typeface="Calibri" panose="020F0502020204030204" pitchFamily="34" charset="0"/>
            </a:rPr>
            <a:t>· Se tienen en cuenta todos los decimales de las tarifas, pero se muestran solo unos pocos</a:t>
          </a:r>
        </a:p>
        <a:p>
          <a:pPr algn="l"/>
          <a:r>
            <a:rPr lang="es-ES" sz="1100" b="0" baseline="0">
              <a:ln>
                <a:noFill/>
              </a:ln>
              <a:latin typeface="Calibri" panose="020F0502020204030204" pitchFamily="34" charset="0"/>
              <a:cs typeface="Calibri" panose="020F0502020204030204" pitchFamily="34" charset="0"/>
            </a:rPr>
            <a:t>· El valor de factura en PVPC e indexadas es estimado debido a la facturación horaria del precio, y cada suministro puede variar. El valor exacto lo verás en la web de la CNMC (https://comparador.cnmc.gob.es/facturaluz/inicio/). Las indexadas a mercado diario, aproximación., bastante fiable por lo que podemos comprobar.</a:t>
          </a:r>
        </a:p>
        <a:p>
          <a:pPr algn="l"/>
          <a:r>
            <a:rPr lang="es-ES" sz="1100" b="0" baseline="0">
              <a:ln>
                <a:noFill/>
              </a:ln>
              <a:latin typeface="Calibri" panose="020F0502020204030204" pitchFamily="34" charset="0"/>
              <a:cs typeface="Calibri" panose="020F0502020204030204" pitchFamily="34" charset="0"/>
            </a:rPr>
            <a:t>· hay una fila, donde se ve un ranking y la diferencia en € con la factura libre más barata, y puesto entre todas las tarifas del comparador. </a:t>
          </a:r>
          <a:r>
            <a:rPr lang="es-ES" sz="1100" b="1" baseline="0">
              <a:ln>
                <a:noFill/>
              </a:ln>
              <a:latin typeface="Calibri" panose="020F0502020204030204" pitchFamily="34" charset="0"/>
              <a:cs typeface="Calibri" panose="020F0502020204030204" pitchFamily="34" charset="0"/>
            </a:rPr>
            <a:t>Y son las más baratas del mercado!</a:t>
          </a:r>
          <a:endParaRPr lang="es-ES" sz="1100" b="0" baseline="0">
            <a:ln>
              <a:noFill/>
            </a:ln>
            <a:latin typeface="Calibri" panose="020F0502020204030204" pitchFamily="34" charset="0"/>
            <a:cs typeface="Calibri" panose="020F0502020204030204" pitchFamily="34" charset="0"/>
          </a:endParaRPr>
        </a:p>
        <a:p>
          <a:pPr algn="l"/>
          <a:endParaRPr lang="es-ES" sz="1100" b="0" baseline="0">
            <a:latin typeface="Calibri" panose="020F0502020204030204" pitchFamily="34" charset="0"/>
            <a:cs typeface="Calibri" panose="020F0502020204030204" pitchFamily="34" charset="0"/>
          </a:endParaRPr>
        </a:p>
        <a:p>
          <a:pPr algn="l"/>
          <a:r>
            <a:rPr lang="es-ES" sz="1100" b="0" baseline="0">
              <a:latin typeface="Calibri" panose="020F0502020204030204" pitchFamily="34" charset="0"/>
              <a:cs typeface="Calibri" panose="020F0502020204030204" pitchFamily="34" charset="0"/>
            </a:rPr>
            <a:t>El alquiler podría variar ligeramente en algún caso, como los suministros trifásicos, pero es despreciable, y nao afecta a la  comparativa.</a:t>
          </a:r>
        </a:p>
      </xdr:txBody>
    </xdr:sp>
    <xdr:clientData/>
  </xdr:twoCellAnchor>
  <xdr:twoCellAnchor>
    <xdr:from>
      <xdr:col>12</xdr:col>
      <xdr:colOff>0</xdr:colOff>
      <xdr:row>63</xdr:row>
      <xdr:rowOff>114300</xdr:rowOff>
    </xdr:from>
    <xdr:to>
      <xdr:col>16</xdr:col>
      <xdr:colOff>217394</xdr:colOff>
      <xdr:row>85</xdr:row>
      <xdr:rowOff>93570</xdr:rowOff>
    </xdr:to>
    <xdr:sp macro="" textlink="">
      <xdr:nvSpPr>
        <xdr:cNvPr id="20" name="19 Rectángulo redondeado">
          <a:extLst>
            <a:ext uri="{FF2B5EF4-FFF2-40B4-BE49-F238E27FC236}">
              <a16:creationId xmlns:a16="http://schemas.microsoft.com/office/drawing/2014/main" xmlns="" id="{00000000-0008-0000-0000-000014000000}"/>
            </a:ext>
            <a:ext uri="{147F2762-F138-4A5C-976F-8EAC2B608ADB}">
              <a16:predDERef xmlns:a16="http://schemas.microsoft.com/office/drawing/2014/main" xmlns="" pred="{00000000-0008-0000-0000-000012000000}"/>
            </a:ext>
          </a:extLst>
        </xdr:cNvPr>
        <xdr:cNvSpPr/>
      </xdr:nvSpPr>
      <xdr:spPr>
        <a:xfrm>
          <a:off x="14398998" y="16316325"/>
          <a:ext cx="3753971" cy="4379820"/>
        </a:xfrm>
        <a:prstGeom prst="roundRect">
          <a:avLst>
            <a:gd name="adj" fmla="val 12148"/>
          </a:avLst>
        </a:prstGeom>
        <a:solidFill>
          <a:srgbClr val="C9A2CA"/>
        </a:solidFill>
      </xdr:spPr>
      <xdr:style>
        <a:lnRef idx="1">
          <a:schemeClr val="accent3"/>
        </a:lnRef>
        <a:fillRef idx="2">
          <a:schemeClr val="accent3"/>
        </a:fillRef>
        <a:effectRef idx="1">
          <a:schemeClr val="accent3"/>
        </a:effectRef>
        <a:fontRef idx="minor">
          <a:schemeClr val="dk1"/>
        </a:fontRef>
      </xdr:style>
      <xdr:txBody>
        <a:bodyPr rtlCol="0" anchor="ctr"/>
        <a:lstStyle/>
        <a:p>
          <a:pPr algn="l"/>
          <a:r>
            <a:rPr lang="es-ES" sz="1100" b="1">
              <a:solidFill>
                <a:schemeClr val="tx1"/>
              </a:solidFill>
              <a:latin typeface="Calibri" panose="020F0502020204030204" pitchFamily="34" charset="0"/>
              <a:cs typeface="Calibri" panose="020F0502020204030204" pitchFamily="34" charset="0"/>
            </a:rPr>
            <a:t>NOTAS:</a:t>
          </a:r>
        </a:p>
        <a:p>
          <a:pPr algn="l"/>
          <a:endParaRPr lang="es-ES" sz="1100" b="1">
            <a:solidFill>
              <a:schemeClr val="tx1"/>
            </a:solidFill>
            <a:latin typeface="Calibri" panose="020F0502020204030204" pitchFamily="34" charset="0"/>
            <a:cs typeface="Calibri" panose="020F0502020204030204" pitchFamily="34" charset="0"/>
          </a:endParaRPr>
        </a:p>
        <a:p>
          <a:pPr algn="l"/>
          <a:r>
            <a:rPr lang="es-ES" sz="1100" b="1">
              <a:solidFill>
                <a:schemeClr val="tx1"/>
              </a:solidFill>
              <a:latin typeface="Calibri" panose="020F0502020204030204" pitchFamily="34" charset="0"/>
              <a:cs typeface="Calibri" panose="020F0502020204030204" pitchFamily="34" charset="0"/>
            </a:rPr>
            <a:t>· </a:t>
          </a:r>
          <a:r>
            <a:rPr lang="es-ES" sz="1100" b="0">
              <a:solidFill>
                <a:schemeClr val="tx1"/>
              </a:solidFill>
              <a:latin typeface="Calibri" panose="020F0502020204030204" pitchFamily="34" charset="0"/>
              <a:cs typeface="Calibri" panose="020F0502020204030204" pitchFamily="34" charset="0"/>
            </a:rPr>
            <a:t>Usamos por defecto </a:t>
          </a:r>
          <a:r>
            <a:rPr lang="es-ES" sz="1100" b="0" baseline="0">
              <a:solidFill>
                <a:schemeClr val="tx1"/>
              </a:solidFill>
              <a:latin typeface="Calibri" panose="020F0502020204030204" pitchFamily="34" charset="0"/>
              <a:cs typeface="Calibri" panose="020F0502020204030204" pitchFamily="34" charset="0"/>
            </a:rPr>
            <a:t>una proporción de consumos 25%-25%-50%, fácil de recordar y similar al perfil  medio de Red Eléctrica. Cuando tu contador no registra perfil horario te aplican proporción (29-24-47). Utiliza ese perfil si no conoces la distribución de consumos de tu suministro. </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Si no tienes datos, deja los 200kWh. Según Red Eléctrica, el consumo medio son 270kWh/mes para domésticos.</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No están todas las tarifas del mercado, si no </a:t>
          </a:r>
          <a:r>
            <a:rPr lang="es-ES" sz="1100" b="1" baseline="0">
              <a:solidFill>
                <a:schemeClr val="tx1"/>
              </a:solidFill>
              <a:latin typeface="Calibri" panose="020F0502020204030204" pitchFamily="34" charset="0"/>
              <a:cs typeface="Calibri" panose="020F0502020204030204" pitchFamily="34" charset="0"/>
            </a:rPr>
            <a:t>las más baratas que se han encontrado</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En Canarias el IGIC, y en Ceuta y Melilla el IPSI son los impuestos equivalentes al IVA. Personaliza ese campo con el valor que te aparezca en factura</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La financiación del bono social (0.01274€/día) es un coste regulado que suele cobrarse aparte. Se calcula en el excel.</a:t>
          </a:r>
        </a:p>
        <a:p>
          <a:pPr algn="l"/>
          <a:endParaRPr lang="es-ES" sz="1100" b="0" baseline="0">
            <a:solidFill>
              <a:schemeClr val="tx1"/>
            </a:solidFill>
            <a:latin typeface="Calibri" panose="020F0502020204030204" pitchFamily="34" charset="0"/>
            <a:cs typeface="Calibri" panose="020F0502020204030204" pitchFamily="34" charset="0"/>
          </a:endParaRPr>
        </a:p>
      </xdr:txBody>
    </xdr:sp>
    <xdr:clientData/>
  </xdr:twoCellAnchor>
  <xdr:twoCellAnchor editAs="oneCell">
    <xdr:from>
      <xdr:col>3</xdr:col>
      <xdr:colOff>302560</xdr:colOff>
      <xdr:row>68</xdr:row>
      <xdr:rowOff>3924</xdr:rowOff>
    </xdr:from>
    <xdr:to>
      <xdr:col>9</xdr:col>
      <xdr:colOff>721707</xdr:colOff>
      <xdr:row>72</xdr:row>
      <xdr:rowOff>62876</xdr:rowOff>
    </xdr:to>
    <xdr:pic>
      <xdr:nvPicPr>
        <xdr:cNvPr id="21" name="14 Imagen" descr="contador.png">
          <a:extLst>
            <a:ext uri="{FF2B5EF4-FFF2-40B4-BE49-F238E27FC236}">
              <a16:creationId xmlns:a16="http://schemas.microsoft.com/office/drawing/2014/main" xmlns="" id="{00000000-0008-0000-0000-000015000000}"/>
            </a:ext>
          </a:extLst>
        </xdr:cNvPr>
        <xdr:cNvPicPr>
          <a:picLocks noChangeAspect="1"/>
        </xdr:cNvPicPr>
      </xdr:nvPicPr>
      <xdr:blipFill>
        <a:blip xmlns:r="http://schemas.openxmlformats.org/officeDocument/2006/relationships" r:embed="rId1"/>
        <a:stretch>
          <a:fillRect/>
        </a:stretch>
      </xdr:blipFill>
      <xdr:spPr>
        <a:xfrm>
          <a:off x="3429001" y="19423718"/>
          <a:ext cx="5821272" cy="865775"/>
        </a:xfrm>
        <a:prstGeom prst="rect">
          <a:avLst/>
        </a:prstGeom>
        <a:ln w="88900" cap="sq" cmpd="thickThin">
          <a:solidFill>
            <a:srgbClr val="FFC000"/>
          </a:solidFill>
          <a:prstDash val="solid"/>
          <a:miter lim="800000"/>
        </a:ln>
        <a:effectLst>
          <a:innerShdw blurRad="76200">
            <a:srgbClr val="000000"/>
          </a:innerShdw>
        </a:effectLst>
      </xdr:spPr>
    </xdr:pic>
    <xdr:clientData/>
  </xdr:twoCellAnchor>
  <xdr:twoCellAnchor>
    <xdr:from>
      <xdr:col>23</xdr:col>
      <xdr:colOff>9525</xdr:colOff>
      <xdr:row>12</xdr:row>
      <xdr:rowOff>9525</xdr:rowOff>
    </xdr:from>
    <xdr:to>
      <xdr:col>25</xdr:col>
      <xdr:colOff>2476500</xdr:colOff>
      <xdr:row>18</xdr:row>
      <xdr:rowOff>314325</xdr:rowOff>
    </xdr:to>
    <xdr:pic>
      <xdr:nvPicPr>
        <xdr:cNvPr id="5" name="Imagen 4">
          <a:extLst>
            <a:ext uri="{FF2B5EF4-FFF2-40B4-BE49-F238E27FC236}">
              <a16:creationId xmlns:a16="http://schemas.microsoft.com/office/drawing/2014/main" xmlns="" id="{00000000-0008-0000-0000-000005000000}"/>
            </a:ext>
            <a:ext uri="{147F2762-F138-4A5C-976F-8EAC2B608ADB}">
              <a16:predDERef xmlns:a16="http://schemas.microsoft.com/office/drawing/2014/main" xmlns="" pred="{00000000-0008-0000-0000-000015000000}"/>
            </a:ext>
          </a:extLst>
        </xdr:cNvPr>
        <xdr:cNvPicPr>
          <a:picLocks noChangeAspect="1"/>
        </xdr:cNvPicPr>
      </xdr:nvPicPr>
      <xdr:blipFill>
        <a:blip xmlns:r="http://schemas.openxmlformats.org/officeDocument/2006/relationships" r:embed="rId2"/>
        <a:stretch>
          <a:fillRect/>
        </a:stretch>
      </xdr:blipFill>
      <xdr:spPr>
        <a:xfrm>
          <a:off x="25622250" y="3181350"/>
          <a:ext cx="4829175" cy="1990725"/>
        </a:xfrm>
        <a:prstGeom prst="rect">
          <a:avLst/>
        </a:prstGeom>
      </xdr:spPr>
    </xdr:pic>
    <xdr:clientData/>
  </xdr:twoCellAnchor>
  <xdr:oneCellAnchor>
    <xdr:from>
      <xdr:col>21</xdr:col>
      <xdr:colOff>0</xdr:colOff>
      <xdr:row>3</xdr:row>
      <xdr:rowOff>0</xdr:rowOff>
    </xdr:from>
    <xdr:ext cx="184731" cy="254557"/>
    <xdr:sp macro="" textlink="">
      <xdr:nvSpPr>
        <xdr:cNvPr id="7" name="CuadroTexto 6">
          <a:extLst>
            <a:ext uri="{FF2B5EF4-FFF2-40B4-BE49-F238E27FC236}">
              <a16:creationId xmlns:a16="http://schemas.microsoft.com/office/drawing/2014/main" xmlns="" id="{00000000-0008-0000-0000-000007000000}"/>
            </a:ext>
            <a:ext uri="{147F2762-F138-4A5C-976F-8EAC2B608ADB}">
              <a16:predDERef xmlns:a16="http://schemas.microsoft.com/office/drawing/2014/main" xmlns="" pred="{00000000-0008-0000-0000-000005000000}"/>
            </a:ext>
          </a:extLst>
        </xdr:cNvPr>
        <xdr:cNvSpPr txBox="1"/>
      </xdr:nvSpPr>
      <xdr:spPr>
        <a:xfrm>
          <a:off x="27622500" y="103094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twoCellAnchor>
    <xdr:from>
      <xdr:col>16</xdr:col>
      <xdr:colOff>387471</xdr:colOff>
      <xdr:row>63</xdr:row>
      <xdr:rowOff>185137</xdr:rowOff>
    </xdr:from>
    <xdr:to>
      <xdr:col>19</xdr:col>
      <xdr:colOff>997324</xdr:colOff>
      <xdr:row>85</xdr:row>
      <xdr:rowOff>123265</xdr:rowOff>
    </xdr:to>
    <xdr:sp macro="" textlink="">
      <xdr:nvSpPr>
        <xdr:cNvPr id="11" name="17 Rectángulo redondeado">
          <a:extLst>
            <a:ext uri="{FF2B5EF4-FFF2-40B4-BE49-F238E27FC236}">
              <a16:creationId xmlns:a16="http://schemas.microsoft.com/office/drawing/2014/main" xmlns="" id="{00000000-0008-0000-0000-00000B000000}"/>
            </a:ext>
          </a:extLst>
        </xdr:cNvPr>
        <xdr:cNvSpPr/>
      </xdr:nvSpPr>
      <xdr:spPr>
        <a:xfrm>
          <a:off x="17073030" y="18596402"/>
          <a:ext cx="5249088" cy="4375657"/>
        </a:xfrm>
        <a:prstGeom prst="roundRect">
          <a:avLst>
            <a:gd name="adj" fmla="val 5048"/>
          </a:avLst>
        </a:prstGeom>
        <a:gradFill>
          <a:gsLst>
            <a:gs pos="0">
              <a:srgbClr val="FFFF00"/>
            </a:gs>
            <a:gs pos="50000">
              <a:schemeClr val="accent3">
                <a:lumMod val="105000"/>
                <a:satMod val="103000"/>
                <a:tint val="73000"/>
              </a:schemeClr>
            </a:gs>
            <a:gs pos="100000">
              <a:schemeClr val="accent3">
                <a:lumMod val="105000"/>
                <a:satMod val="109000"/>
                <a:tint val="81000"/>
              </a:schemeClr>
            </a:gs>
          </a:gsLst>
        </a:gradFill>
      </xdr:spPr>
      <xdr:style>
        <a:lnRef idx="1">
          <a:schemeClr val="accent3"/>
        </a:lnRef>
        <a:fillRef idx="2">
          <a:schemeClr val="accent3"/>
        </a:fillRef>
        <a:effectRef idx="1">
          <a:schemeClr val="accent3"/>
        </a:effectRef>
        <a:fontRef idx="minor">
          <a:schemeClr val="dk1"/>
        </a:fontRef>
      </xdr:style>
      <xdr:txBody>
        <a:bodyPr rtlCol="0" anchor="ctr"/>
        <a:lstStyle/>
        <a:p>
          <a:pPr algn="l"/>
          <a:r>
            <a:rPr lang="es-ES" sz="1100" b="1"/>
            <a:t>INSTRUCCIONES</a:t>
          </a:r>
          <a:r>
            <a:rPr lang="es-ES" sz="1100" b="1" baseline="0"/>
            <a:t> FOTOVOLTAICA</a:t>
          </a:r>
          <a:r>
            <a:rPr lang="es-ES" sz="1100" b="1"/>
            <a:t>: EN</a:t>
          </a:r>
          <a:r>
            <a:rPr lang="es-ES" sz="1100" b="1" baseline="0"/>
            <a:t> PRUEBAS</a:t>
          </a:r>
          <a:endParaRPr lang="es-ES" sz="1100" b="1"/>
        </a:p>
        <a:p>
          <a:pPr algn="l"/>
          <a:endParaRPr lang="es-ES" sz="1100" b="1"/>
        </a:p>
        <a:p>
          <a:pPr algn="l"/>
          <a:r>
            <a:rPr lang="es-ES" sz="1100" b="0"/>
            <a:t>1.</a:t>
          </a:r>
          <a:r>
            <a:rPr lang="es-ES" sz="1100" b="0" baseline="0"/>
            <a:t> Fotovoltaica se activa cuando hay al menos 1kWh de excedente</a:t>
          </a:r>
        </a:p>
        <a:p>
          <a:pPr algn="l"/>
          <a:r>
            <a:rPr lang="es-ES" sz="1100" b="0" baseline="0"/>
            <a:t>2. Todavía está en fase pruebas, es posible que con autoconsumo pueda no dar datos exactos en todos los casos. Cada compañía aplica un poco la compensación de excedentes a su manera, y no tenemos ejemplos de todas las compañías. Las capturas bienvenidas, de esa forma aprendemos, mejoramos y compartimos.</a:t>
          </a:r>
        </a:p>
        <a:p>
          <a:pPr algn="l"/>
          <a:r>
            <a:rPr lang="es-ES" sz="1100" b="0" baseline="0"/>
            <a:t>3. En esta versión solo se contempla que la batería virtual se aplique después de impuestos.</a:t>
          </a:r>
        </a:p>
        <a:p>
          <a:pPr algn="l"/>
          <a:r>
            <a:rPr lang="es-ES" sz="1100" b="0" baseline="0"/>
            <a:t>4. Hay tarifas que no son compatible si no tienes autoconsumo legalizado, para simplificar el excel,entiende que si no tienes excedentes, no tienes placas. Si tu caso fuera que tienes placas, pero ese mes no tienes excedentes, (cosa rara) pon 1 kWh de excedentes para que te valore las tarifas exclusivas para autoconsumo</a:t>
          </a:r>
        </a:p>
      </xdr:txBody>
    </xdr:sp>
    <xdr:clientData/>
  </xdr:twoCellAnchor>
  <xdr:twoCellAnchor editAs="oneCell">
    <xdr:from>
      <xdr:col>20</xdr:col>
      <xdr:colOff>19050</xdr:colOff>
      <xdr:row>0</xdr:row>
      <xdr:rowOff>0</xdr:rowOff>
    </xdr:from>
    <xdr:to>
      <xdr:col>20</xdr:col>
      <xdr:colOff>3590925</xdr:colOff>
      <xdr:row>20</xdr:row>
      <xdr:rowOff>1008408</xdr:rowOff>
    </xdr:to>
    <xdr:pic>
      <xdr:nvPicPr>
        <xdr:cNvPr id="3" name="Imagen 2">
          <a:extLst>
            <a:ext uri="{FF2B5EF4-FFF2-40B4-BE49-F238E27FC236}">
              <a16:creationId xmlns:a16="http://schemas.microsoft.com/office/drawing/2014/main" xmlns="" id="{00000000-0008-0000-0000-000003000000}"/>
            </a:ext>
            <a:ext uri="{147F2762-F138-4A5C-976F-8EAC2B608ADB}">
              <a16:predDERef xmlns:a16="http://schemas.microsoft.com/office/drawing/2014/main" xmlns="" pred="{00000000-0008-0000-00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88025" y="0"/>
          <a:ext cx="3571875" cy="7143750"/>
        </a:xfrm>
        <a:prstGeom prst="rect">
          <a:avLst/>
        </a:prstGeom>
      </xdr:spPr>
    </xdr:pic>
    <xdr:clientData/>
  </xdr:twoCellAnchor>
  <xdr:twoCellAnchor editAs="oneCell">
    <xdr:from>
      <xdr:col>20</xdr:col>
      <xdr:colOff>78442</xdr:colOff>
      <xdr:row>35</xdr:row>
      <xdr:rowOff>75079</xdr:rowOff>
    </xdr:from>
    <xdr:to>
      <xdr:col>21</xdr:col>
      <xdr:colOff>123825</xdr:colOff>
      <xdr:row>65</xdr:row>
      <xdr:rowOff>79047</xdr:rowOff>
    </xdr:to>
    <xdr:pic>
      <xdr:nvPicPr>
        <xdr:cNvPr id="13" name="Imagen 12">
          <a:extLst>
            <a:ext uri="{FF2B5EF4-FFF2-40B4-BE49-F238E27FC236}">
              <a16:creationId xmlns:a16="http://schemas.microsoft.com/office/drawing/2014/main" xmlns="" id="{00000000-0008-0000-0000-00000D000000}"/>
            </a:ext>
            <a:ext uri="{147F2762-F138-4A5C-976F-8EAC2B608ADB}">
              <a16:predDERef xmlns:a16="http://schemas.microsoft.com/office/drawing/2014/main" xmlns="" pred="{00000000-0008-0000-0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47417" y="9838204"/>
          <a:ext cx="3702983" cy="7223917"/>
        </a:xfrm>
        <a:prstGeom prst="rect">
          <a:avLst/>
        </a:prstGeom>
      </xdr:spPr>
    </xdr:pic>
    <xdr:clientData/>
  </xdr:twoCellAnchor>
  <xdr:twoCellAnchor>
    <xdr:from>
      <xdr:col>0</xdr:col>
      <xdr:colOff>-9525</xdr:colOff>
      <xdr:row>0</xdr:row>
      <xdr:rowOff>9525</xdr:rowOff>
    </xdr:from>
    <xdr:to>
      <xdr:col>0</xdr:col>
      <xdr:colOff>-9525</xdr:colOff>
      <xdr:row>0</xdr:row>
      <xdr:rowOff>9525</xdr:rowOff>
    </xdr:to>
    <xdr:sp macro="" textlink="">
      <xdr:nvSpPr>
        <xdr:cNvPr id="2" name="Rectángulo redondeado 1">
          <a:extLst>
            <a:ext uri="{FF2B5EF4-FFF2-40B4-BE49-F238E27FC236}">
              <a16:creationId xmlns:a16="http://schemas.microsoft.com/office/drawing/2014/main" xmlns="" id="{E17F3CB6-3113-EB21-CBEF-56E1AD564EE9}"/>
            </a:ext>
            <a:ext uri="{147F2762-F138-4A5C-976F-8EAC2B608ADB}">
              <a16:predDERef xmlns:a16="http://schemas.microsoft.com/office/drawing/2014/main" xmlns="" pred="{00000000-0008-0000-0000-00000D000000}"/>
            </a:ext>
          </a:extLst>
        </xdr:cNvPr>
        <xdr:cNvSpPr/>
      </xdr:nvSpPr>
      <xdr:spPr>
        <a:xfrm>
          <a:off x="-9525" y="9525"/>
          <a:ext cx="0" cy="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r>
            <a:rPr lang="en-US" sz="1400" b="1" i="0" u="none" strike="noStrike">
              <a:solidFill>
                <a:schemeClr val="lt1"/>
              </a:solidFill>
              <a:latin typeface="Arial" panose="020B0604020202020204" pitchFamily="34" charset="0"/>
              <a:cs typeface="Arial" panose="020B0604020202020204" pitchFamily="34" charset="0"/>
            </a:rPr>
            <a:t>CORRED </a:t>
          </a:r>
        </a:p>
        <a:p>
          <a:pPr marL="0" indent="0" algn="ctr"/>
          <a:r>
            <a:rPr lang="en-US" sz="1400" b="1" i="0" u="none" strike="noStrike">
              <a:solidFill>
                <a:schemeClr val="lt1"/>
              </a:solidFill>
              <a:latin typeface="Arial" panose="020B0604020202020204" pitchFamily="34" charset="0"/>
              <a:cs typeface="Arial" panose="020B0604020202020204" pitchFamily="34" charset="0"/>
            </a:rPr>
            <a:t>INSENSATOS: </a:t>
          </a:r>
        </a:p>
        <a:p>
          <a:pPr marL="0" indent="0" algn="ctr"/>
          <a:r>
            <a:rPr lang="en-US" sz="1400" b="1" i="0" u="none" strike="noStrike">
              <a:solidFill>
                <a:schemeClr val="lt1"/>
              </a:solidFill>
              <a:latin typeface="Arial" panose="020B0604020202020204" pitchFamily="34" charset="0"/>
              <a:cs typeface="Arial" panose="020B0604020202020204" pitchFamily="34" charset="0"/>
            </a:rPr>
            <a:t>HASTA EL 30/06/25</a:t>
          </a:r>
        </a:p>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r>
            <a:rPr lang="en-US" sz="1400" b="1" i="0" u="none" strike="noStrike">
              <a:solidFill>
                <a:schemeClr val="lt1"/>
              </a:solidFill>
              <a:latin typeface="Arial" panose="020B0604020202020204" pitchFamily="34" charset="0"/>
              <a:cs typeface="Arial" panose="020B0604020202020204" pitchFamily="34" charset="0"/>
            </a:rPr>
            <a:t>LUEGO</a:t>
          </a:r>
        </a:p>
        <a:p>
          <a:pPr marL="0" indent="0" algn="ctr"/>
          <a:r>
            <a:rPr lang="en-US" sz="1400" b="1" i="0" u="none" strike="noStrike">
              <a:solidFill>
                <a:schemeClr val="lt1"/>
              </a:solidFill>
              <a:latin typeface="Arial" panose="020B0604020202020204" pitchFamily="34" charset="0"/>
              <a:cs typeface="Arial" panose="020B0604020202020204" pitchFamily="34" charset="0"/>
            </a:rPr>
            <a:t>SUBIDÓN</a:t>
          </a:r>
        </a:p>
      </xdr:txBody>
    </xdr:sp>
    <xdr:clientData/>
  </xdr:twoCellAnchor>
  <xdr:twoCellAnchor>
    <xdr:from>
      <xdr:col>22</xdr:col>
      <xdr:colOff>638175</xdr:colOff>
      <xdr:row>10</xdr:row>
      <xdr:rowOff>9525</xdr:rowOff>
    </xdr:from>
    <xdr:to>
      <xdr:col>25</xdr:col>
      <xdr:colOff>2152650</xdr:colOff>
      <xdr:row>17</xdr:row>
      <xdr:rowOff>57150</xdr:rowOff>
    </xdr:to>
    <xdr:cxnSp macro="">
      <xdr:nvCxnSpPr>
        <xdr:cNvPr id="4" name="Conector recto 3">
          <a:extLst>
            <a:ext uri="{FF2B5EF4-FFF2-40B4-BE49-F238E27FC236}">
              <a16:creationId xmlns:a16="http://schemas.microsoft.com/office/drawing/2014/main" xmlns="" id="{40F12C10-751A-F2C2-2DE8-C48938DD0E00}"/>
            </a:ext>
            <a:ext uri="{147F2762-F138-4A5C-976F-8EAC2B608ADB}">
              <a16:predDERef xmlns:a16="http://schemas.microsoft.com/office/drawing/2014/main" xmlns="" pred="{E17F3CB6-3113-EB21-CBEF-56E1AD564EE9}"/>
            </a:ext>
          </a:extLst>
        </xdr:cNvPr>
        <xdr:cNvCxnSpPr>
          <a:cxnSpLocks/>
        </xdr:cNvCxnSpPr>
      </xdr:nvCxnSpPr>
      <xdr:spPr>
        <a:xfrm flipH="1" flipV="1">
          <a:off x="25622250" y="2990850"/>
          <a:ext cx="4572000" cy="19335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0</xdr:row>
      <xdr:rowOff>0</xdr:rowOff>
    </xdr:from>
    <xdr:to>
      <xdr:col>28</xdr:col>
      <xdr:colOff>1238250</xdr:colOff>
      <xdr:row>1</xdr:row>
      <xdr:rowOff>114300</xdr:rowOff>
    </xdr:to>
    <xdr:sp macro="" textlink="">
      <xdr:nvSpPr>
        <xdr:cNvPr id="8" name="Rectángulo 7">
          <a:extLst>
            <a:ext uri="{FF2B5EF4-FFF2-40B4-BE49-F238E27FC236}">
              <a16:creationId xmlns:a16="http://schemas.microsoft.com/office/drawing/2014/main" xmlns="" id="{47DF0863-66D8-4DC1-8EBB-2B9946CF5BC2}"/>
            </a:ext>
            <a:ext uri="{147F2762-F138-4A5C-976F-8EAC2B608ADB}">
              <a16:predDERef xmlns:a16="http://schemas.microsoft.com/office/drawing/2014/main" xmlns="" pred="{40F12C10-751A-F2C2-2DE8-C48938DD0E00}"/>
            </a:ext>
          </a:extLst>
        </xdr:cNvPr>
        <xdr:cNvSpPr/>
      </xdr:nvSpPr>
      <xdr:spPr>
        <a:xfrm>
          <a:off x="22126575" y="0"/>
          <a:ext cx="10963275" cy="609600"/>
        </a:xfrm>
        <a:prstGeom prst="rect">
          <a:avLst/>
        </a:prstGeom>
        <a:solidFill>
          <a:srgbClr val="00B0F0"/>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rgbClr val="000000"/>
              </a:solidFill>
              <a:latin typeface="+mn-lt"/>
              <a:ea typeface="+mn-lt"/>
              <a:cs typeface="+mn-lt"/>
            </a:rPr>
            <a:t>Cuadro</a:t>
          </a:r>
          <a:r>
            <a:rPr lang="en-US" sz="1100">
              <a:solidFill>
                <a:srgbClr val="000000"/>
              </a:solidFill>
              <a:latin typeface="+mn-lt"/>
              <a:ea typeface="+mn-lt"/>
              <a:cs typeface="+mn-lt"/>
            </a:rPr>
            <a:t> sólo para los que estén actualmente en </a:t>
          </a:r>
          <a:r>
            <a:rPr lang="en-US" sz="1100" b="1">
              <a:solidFill>
                <a:srgbClr val="000000"/>
              </a:solidFill>
              <a:latin typeface="+mn-lt"/>
              <a:ea typeface="+mn-lt"/>
              <a:cs typeface="+mn-lt"/>
            </a:rPr>
            <a:t>PVPC</a:t>
          </a:r>
          <a:r>
            <a:rPr lang="en-US" sz="1100">
              <a:solidFill>
                <a:srgbClr val="000000"/>
              </a:solidFill>
              <a:latin typeface="+mn-lt"/>
              <a:ea typeface="+mn-lt"/>
              <a:cs typeface="+mn-lt"/>
            </a:rPr>
            <a:t>, y </a:t>
          </a:r>
          <a:r>
            <a:rPr lang="en-US" sz="1100" b="0" i="0" u="none" strike="noStrike">
              <a:solidFill>
                <a:srgbClr val="000000"/>
              </a:solidFill>
              <a:latin typeface="Arial" panose="020B0604020202020204" pitchFamily="34" charset="0"/>
              <a:cs typeface="Arial" panose="020B0604020202020204" pitchFamily="34" charset="0"/>
            </a:rPr>
            <a:t>deseen</a:t>
          </a:r>
          <a:r>
            <a:rPr lang="en-US" sz="1100">
              <a:solidFill>
                <a:srgbClr val="000000"/>
              </a:solidFill>
              <a:latin typeface="+mn-lt"/>
              <a:ea typeface="+mn-lt"/>
              <a:cs typeface="+mn-lt"/>
            </a:rPr>
            <a:t> comprobar a cuanto pagan realmente el kWh.</a:t>
          </a:r>
        </a:p>
        <a:p>
          <a:pPr marL="0" indent="0" algn="l"/>
          <a:r>
            <a:rPr lang="en-US" sz="1100">
              <a:solidFill>
                <a:srgbClr val="000000"/>
              </a:solidFill>
              <a:latin typeface="+mn-lt"/>
              <a:ea typeface="+mn-lt"/>
              <a:cs typeface="+mn-lt"/>
            </a:rPr>
            <a:t>Los datos se toman de la columna C</a:t>
          </a:r>
          <a:r>
            <a:rPr lang="en-US" sz="1100" b="0" i="0" u="none" strike="noStrike">
              <a:solidFill>
                <a:srgbClr val="000000"/>
              </a:solidFill>
              <a:latin typeface="Arial" panose="020B0604020202020204" pitchFamily="34" charset="0"/>
              <a:cs typeface="Arial" panose="020B0604020202020204" pitchFamily="34" charset="0"/>
            </a:rPr>
            <a:t> del Excel</a:t>
          </a:r>
          <a:r>
            <a:rPr lang="en-US" sz="1100">
              <a:solidFill>
                <a:srgbClr val="000000"/>
              </a:solidFill>
              <a:latin typeface="+mn-lt"/>
              <a:ea typeface="+mn-lt"/>
              <a:cs typeface="+mn-lt"/>
            </a:rPr>
            <a:t>. Solo necesitas poner la cifra del Coste de la energía</a:t>
          </a:r>
          <a:r>
            <a:rPr lang="en-US" sz="1100" b="0" i="0" u="none" strike="noStrike">
              <a:solidFill>
                <a:srgbClr val="000000"/>
              </a:solidFill>
              <a:latin typeface="Arial" panose="020B0604020202020204" pitchFamily="34" charset="0"/>
              <a:cs typeface="Arial" panose="020B0604020202020204" pitchFamily="34" charset="0"/>
            </a:rPr>
            <a:t>,</a:t>
          </a:r>
          <a:r>
            <a:rPr lang="en-US" sz="1100">
              <a:solidFill>
                <a:srgbClr val="000000"/>
              </a:solidFill>
              <a:latin typeface="+mn-lt"/>
              <a:ea typeface="+mn-lt"/>
              <a:cs typeface="+mn-lt"/>
            </a:rPr>
            <a:t> en euros</a:t>
          </a:r>
          <a:r>
            <a:rPr lang="en-US" sz="1100" b="0" i="0" u="none" strike="noStrike">
              <a:solidFill>
                <a:srgbClr val="000000"/>
              </a:solidFill>
              <a:latin typeface="Arial" panose="020B0604020202020204" pitchFamily="34" charset="0"/>
              <a:cs typeface="Arial" panose="020B0604020202020204" pitchFamily="34" charset="0"/>
            </a:rPr>
            <a:t>,</a:t>
          </a:r>
          <a:r>
            <a:rPr lang="en-US" sz="1100">
              <a:solidFill>
                <a:srgbClr val="000000"/>
              </a:solidFill>
              <a:latin typeface="+mn-lt"/>
              <a:ea typeface="+mn-lt"/>
              <a:cs typeface="+mn-lt"/>
            </a:rPr>
            <a:t> que parece en tus facturas de PVPC, y al final te da el precio el kWh que te sale (tanto por periodos como una media general)</a:t>
          </a:r>
        </a:p>
      </xdr:txBody>
    </xdr:sp>
    <xdr:clientData/>
  </xdr:twoCellAnchor>
  <xdr:twoCellAnchor>
    <xdr:from>
      <xdr:col>27</xdr:col>
      <xdr:colOff>438150</xdr:colOff>
      <xdr:row>1</xdr:row>
      <xdr:rowOff>133350</xdr:rowOff>
    </xdr:from>
    <xdr:to>
      <xdr:col>28</xdr:col>
      <xdr:colOff>781050</xdr:colOff>
      <xdr:row>1</xdr:row>
      <xdr:rowOff>514350</xdr:rowOff>
    </xdr:to>
    <xdr:sp macro="" textlink="">
      <xdr:nvSpPr>
        <xdr:cNvPr id="9" name="Óvalo 8">
          <a:extLst>
            <a:ext uri="{FF2B5EF4-FFF2-40B4-BE49-F238E27FC236}">
              <a16:creationId xmlns:a16="http://schemas.microsoft.com/office/drawing/2014/main" xmlns="" id="{FB19B995-2DAD-AABF-AD79-74AFF494CA42}"/>
            </a:ext>
            <a:ext uri="{147F2762-F138-4A5C-976F-8EAC2B608ADB}">
              <a16:predDERef xmlns:a16="http://schemas.microsoft.com/office/drawing/2014/main" xmlns="" pred="{47DF0863-66D8-4DC1-8EBB-2B9946CF5BC2}"/>
            </a:ext>
          </a:extLst>
        </xdr:cNvPr>
        <xdr:cNvSpPr/>
      </xdr:nvSpPr>
      <xdr:spPr>
        <a:xfrm>
          <a:off x="31261050" y="628650"/>
          <a:ext cx="1371600" cy="3810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27</xdr:col>
      <xdr:colOff>866775</xdr:colOff>
      <xdr:row>2</xdr:row>
      <xdr:rowOff>0</xdr:rowOff>
    </xdr:from>
    <xdr:to>
      <xdr:col>28</xdr:col>
      <xdr:colOff>342900</xdr:colOff>
      <xdr:row>5</xdr:row>
      <xdr:rowOff>190500</xdr:rowOff>
    </xdr:to>
    <xdr:sp macro="" textlink="">
      <xdr:nvSpPr>
        <xdr:cNvPr id="10" name="Flecha abajo 9">
          <a:extLst>
            <a:ext uri="{FF2B5EF4-FFF2-40B4-BE49-F238E27FC236}">
              <a16:creationId xmlns:a16="http://schemas.microsoft.com/office/drawing/2014/main" xmlns="" id="{E5166707-07E7-134C-C458-22539F156F3E}"/>
            </a:ext>
            <a:ext uri="{147F2762-F138-4A5C-976F-8EAC2B608ADB}">
              <a16:predDERef xmlns:a16="http://schemas.microsoft.com/office/drawing/2014/main" xmlns="" pred="{FB19B995-2DAD-AABF-AD79-74AFF494CA42}"/>
            </a:ext>
          </a:extLst>
        </xdr:cNvPr>
        <xdr:cNvSpPr/>
      </xdr:nvSpPr>
      <xdr:spPr>
        <a:xfrm>
          <a:off x="31689675" y="1047750"/>
          <a:ext cx="504825" cy="1190625"/>
        </a:xfrm>
        <a:prstGeom prst="downArrow">
          <a:avLst/>
        </a:prstGeom>
        <a:solidFill>
          <a:schemeClr val="accent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a:p>
      </xdr:txBody>
    </xdr:sp>
    <xdr:clientData/>
  </xdr:twoCellAnchor>
  <xdr:twoCellAnchor editAs="oneCell">
    <xdr:from>
      <xdr:col>20</xdr:col>
      <xdr:colOff>0</xdr:colOff>
      <xdr:row>79</xdr:row>
      <xdr:rowOff>0</xdr:rowOff>
    </xdr:from>
    <xdr:to>
      <xdr:col>20</xdr:col>
      <xdr:colOff>2228850</xdr:colOff>
      <xdr:row>101</xdr:row>
      <xdr:rowOff>171451</xdr:rowOff>
    </xdr:to>
    <xdr:pic>
      <xdr:nvPicPr>
        <xdr:cNvPr id="12" name="Imagen 11">
          <a:extLst>
            <a:ext uri="{FF2B5EF4-FFF2-40B4-BE49-F238E27FC236}">
              <a16:creationId xmlns:a16="http://schemas.microsoft.com/office/drawing/2014/main" xmlns="" id="{099CE11E-ECDD-73AC-EF33-8E3F57BC1F64}"/>
            </a:ext>
            <a:ext uri="{147F2762-F138-4A5C-976F-8EAC2B608ADB}">
              <a16:predDERef xmlns:a16="http://schemas.microsoft.com/office/drawing/2014/main" xmlns="" pred="{E5166707-07E7-134C-C458-22539F156F3E}"/>
            </a:ext>
          </a:extLst>
        </xdr:cNvPr>
        <xdr:cNvPicPr>
          <a:picLocks noChangeAspect="1"/>
        </xdr:cNvPicPr>
      </xdr:nvPicPr>
      <xdr:blipFill>
        <a:blip xmlns:r="http://schemas.openxmlformats.org/officeDocument/2006/relationships" r:embed="rId4"/>
        <a:stretch>
          <a:fillRect/>
        </a:stretch>
      </xdr:blipFill>
      <xdr:spPr>
        <a:xfrm>
          <a:off x="18468975" y="19783425"/>
          <a:ext cx="2228850" cy="4572000"/>
        </a:xfrm>
        <a:prstGeom prst="rect">
          <a:avLst/>
        </a:prstGeom>
      </xdr:spPr>
    </xdr:pic>
    <xdr:clientData/>
  </xdr:twoCellAnchor>
  <xdr:twoCellAnchor editAs="oneCell">
    <xdr:from>
      <xdr:col>5</xdr:col>
      <xdr:colOff>314325</xdr:colOff>
      <xdr:row>2</xdr:row>
      <xdr:rowOff>28575</xdr:rowOff>
    </xdr:from>
    <xdr:to>
      <xdr:col>5</xdr:col>
      <xdr:colOff>552450</xdr:colOff>
      <xdr:row>2</xdr:row>
      <xdr:rowOff>238125</xdr:rowOff>
    </xdr:to>
    <xdr:pic>
      <xdr:nvPicPr>
        <xdr:cNvPr id="15" name="Imagen 14">
          <a:extLst>
            <a:ext uri="{FF2B5EF4-FFF2-40B4-BE49-F238E27FC236}">
              <a16:creationId xmlns:a16="http://schemas.microsoft.com/office/drawing/2014/main" xmlns="" id="{0F69BB3E-4EFC-45F7-87AC-AF83B56A077A}"/>
            </a:ext>
            <a:ext uri="{147F2762-F138-4A5C-976F-8EAC2B608ADB}">
              <a16:predDERef xmlns:a16="http://schemas.microsoft.com/office/drawing/2014/main" xmlns="" pred="{099CE11E-ECDD-73AC-EF33-8E3F57BC1F64}"/>
            </a:ext>
          </a:extLst>
        </xdr:cNvPr>
        <xdr:cNvPicPr>
          <a:picLocks noChangeAspect="1"/>
        </xdr:cNvPicPr>
      </xdr:nvPicPr>
      <xdr:blipFill>
        <a:blip xmlns:r="http://schemas.openxmlformats.org/officeDocument/2006/relationships" r:embed="rId5"/>
        <a:stretch>
          <a:fillRect/>
        </a:stretch>
      </xdr:blipFill>
      <xdr:spPr>
        <a:xfrm>
          <a:off x="5810250" y="1076325"/>
          <a:ext cx="238125" cy="2095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mparador.cnmc.gob.es/facturaluz/inici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tabColor rgb="FF92D050"/>
    <outlinePr summaryBelow="0" summaryRight="0"/>
    <pageSetUpPr fitToPage="1"/>
  </sheetPr>
  <dimension ref="A1:AU1035"/>
  <sheetViews>
    <sheetView tabSelected="1" zoomScaleNormal="100" zoomScaleSheetLayoutView="100" workbookViewId="0">
      <selection activeCell="I20" sqref="I20"/>
    </sheetView>
  </sheetViews>
  <sheetFormatPr baseColWidth="10" defaultColWidth="12.5703125" defaultRowHeight="15" customHeight="1" x14ac:dyDescent="0.2"/>
  <cols>
    <col min="1" max="1" width="13.42578125" style="20" customWidth="1"/>
    <col min="2" max="2" width="25.85546875" customWidth="1"/>
    <col min="3" max="3" width="15.42578125" customWidth="1"/>
    <col min="4" max="4" width="14.5703125" customWidth="1"/>
    <col min="5" max="6" width="13.140625" style="22" customWidth="1"/>
    <col min="7" max="9" width="13.28515625" style="22" customWidth="1"/>
    <col min="10" max="10" width="15.28515625" style="22" bestFit="1" customWidth="1"/>
    <col min="11" max="11" width="15.28515625" style="22" customWidth="1"/>
    <col min="12" max="12" width="14.42578125" style="17" customWidth="1"/>
    <col min="13" max="13" width="12.28515625" style="22" customWidth="1"/>
    <col min="14" max="14" width="13.140625" style="22" customWidth="1"/>
    <col min="15" max="15" width="13.140625" customWidth="1"/>
    <col min="16" max="16" width="13" style="14" customWidth="1"/>
    <col min="17" max="17" width="13.140625" customWidth="1"/>
    <col min="18" max="18" width="13.140625" style="22" customWidth="1"/>
    <col min="19" max="19" width="13.140625" style="18" customWidth="1"/>
    <col min="20" max="20" width="38.42578125" customWidth="1"/>
    <col min="21" max="21" width="54.85546875" style="22" customWidth="1"/>
    <col min="22" max="22" width="32.7109375" customWidth="1"/>
    <col min="23" max="23" width="12.140625" style="22" customWidth="1"/>
    <col min="24" max="24" width="21.7109375" style="22" customWidth="1"/>
    <col min="25" max="25" width="12" style="22" customWidth="1"/>
    <col min="26" max="26" width="37.5703125" customWidth="1"/>
    <col min="27" max="27" width="14.28515625" customWidth="1"/>
    <col min="28" max="28" width="15.42578125" bestFit="1" customWidth="1"/>
    <col min="29" max="29" width="18.7109375" customWidth="1"/>
    <col min="30" max="31" width="14.42578125" customWidth="1"/>
    <col min="32" max="32" width="90.7109375" customWidth="1"/>
  </cols>
  <sheetData>
    <row r="1" spans="1:47" ht="39" customHeight="1" thickBot="1" x14ac:dyDescent="0.35">
      <c r="A1" s="247" t="s">
        <v>0</v>
      </c>
      <c r="B1" s="472">
        <f>MAX(E19:S19)</f>
        <v>46096</v>
      </c>
      <c r="C1" s="472"/>
      <c r="D1" s="461" t="str">
        <f>CONCATENATE("RESUMEN DE ",COUNTA($A$2:$U$2)-4," TARIFAS ACTUALES CONTRATABLES. PRECIOS SIN IMPUESTOS. TODAS RECOMENDABLES")</f>
        <v>RESUMEN DE 15 TARIFAS ACTUALES CONTRATABLES. PRECIOS SIN IMPUESTOS. TODAS RECOMENDABLES</v>
      </c>
      <c r="E1" s="461"/>
      <c r="F1" s="461"/>
      <c r="G1" s="461"/>
      <c r="H1" s="461"/>
      <c r="I1" s="461"/>
      <c r="J1" s="461"/>
      <c r="K1" s="461"/>
      <c r="L1" s="461"/>
      <c r="M1" s="461"/>
      <c r="N1" s="461"/>
      <c r="O1" s="461"/>
      <c r="P1" s="461"/>
      <c r="Q1" s="461"/>
      <c r="R1" s="461"/>
      <c r="S1" s="461"/>
      <c r="T1" s="453"/>
      <c r="U1" s="21"/>
      <c r="V1" s="404"/>
      <c r="W1" s="385"/>
      <c r="X1" s="385"/>
      <c r="Y1" s="385"/>
      <c r="Z1" s="385"/>
      <c r="AA1" s="385"/>
      <c r="AB1" s="385"/>
      <c r="AC1" s="386"/>
      <c r="AD1" s="10"/>
      <c r="AE1" s="1"/>
      <c r="AF1" s="22"/>
      <c r="AG1" s="22"/>
      <c r="AH1" s="22"/>
      <c r="AI1" s="22"/>
      <c r="AJ1" s="22"/>
      <c r="AK1" s="22"/>
      <c r="AL1" s="22"/>
      <c r="AM1" s="22"/>
      <c r="AN1" s="22"/>
      <c r="AO1" s="22"/>
      <c r="AP1" s="22"/>
      <c r="AQ1" s="22"/>
      <c r="AR1" s="22"/>
      <c r="AS1" s="22"/>
      <c r="AT1" s="22"/>
      <c r="AU1" s="22"/>
    </row>
    <row r="2" spans="1:47" ht="43.5" customHeight="1" thickBot="1" x14ac:dyDescent="0.4">
      <c r="A2" s="478" t="s">
        <v>1</v>
      </c>
      <c r="B2" s="531" t="s">
        <v>163</v>
      </c>
      <c r="C2" s="532"/>
      <c r="D2" s="344" t="s">
        <v>2</v>
      </c>
      <c r="E2" s="437" t="s">
        <v>3</v>
      </c>
      <c r="F2" s="437" t="s">
        <v>4</v>
      </c>
      <c r="G2" s="437" t="s">
        <v>5</v>
      </c>
      <c r="H2" s="240" t="s">
        <v>6</v>
      </c>
      <c r="I2" s="240" t="s">
        <v>6</v>
      </c>
      <c r="J2" s="240" t="s">
        <v>7</v>
      </c>
      <c r="K2" s="438" t="s">
        <v>7</v>
      </c>
      <c r="L2" s="440" t="s">
        <v>8</v>
      </c>
      <c r="M2" s="437" t="s">
        <v>9</v>
      </c>
      <c r="N2" s="439" t="s">
        <v>10</v>
      </c>
      <c r="O2" s="439" t="s">
        <v>11</v>
      </c>
      <c r="P2" s="439" t="s">
        <v>12</v>
      </c>
      <c r="Q2" s="439" t="s">
        <v>13</v>
      </c>
      <c r="R2" s="311" t="s">
        <v>14</v>
      </c>
      <c r="S2" s="310" t="s">
        <v>15</v>
      </c>
      <c r="T2" s="312" t="s">
        <v>16</v>
      </c>
      <c r="U2" s="21"/>
      <c r="V2" s="458" t="s">
        <v>17</v>
      </c>
      <c r="W2" s="459"/>
      <c r="X2" s="459"/>
      <c r="Y2" s="459"/>
      <c r="Z2" s="459"/>
      <c r="AA2" s="460"/>
      <c r="AB2" s="456" t="s">
        <v>18</v>
      </c>
      <c r="AC2" s="457"/>
      <c r="AD2" s="10"/>
      <c r="AE2" s="1"/>
      <c r="AF2" s="22"/>
      <c r="AG2" s="22"/>
      <c r="AH2" s="22"/>
      <c r="AI2" s="22"/>
      <c r="AJ2" s="22"/>
      <c r="AK2" s="22"/>
      <c r="AL2" s="22"/>
      <c r="AM2" s="22"/>
      <c r="AN2" s="22"/>
      <c r="AO2" s="22"/>
      <c r="AP2" s="22"/>
      <c r="AQ2" s="22"/>
      <c r="AR2" s="22"/>
      <c r="AS2" s="22"/>
      <c r="AT2" s="22"/>
      <c r="AU2" s="22"/>
    </row>
    <row r="3" spans="1:47" ht="51.75" thickBot="1" x14ac:dyDescent="0.25">
      <c r="A3" s="479"/>
      <c r="B3" s="481" t="s">
        <v>164</v>
      </c>
      <c r="C3" s="482"/>
      <c r="D3" s="131" t="s">
        <v>19</v>
      </c>
      <c r="E3" s="354" t="s">
        <v>20</v>
      </c>
      <c r="F3" s="354" t="s">
        <v>21</v>
      </c>
      <c r="G3" s="289" t="s">
        <v>22</v>
      </c>
      <c r="H3" s="289" t="s">
        <v>23</v>
      </c>
      <c r="I3" s="289" t="s">
        <v>24</v>
      </c>
      <c r="J3" s="218" t="s">
        <v>25</v>
      </c>
      <c r="K3" s="218" t="s">
        <v>162</v>
      </c>
      <c r="L3" s="220" t="s">
        <v>26</v>
      </c>
      <c r="M3" s="317" t="s">
        <v>27</v>
      </c>
      <c r="N3" s="328" t="s">
        <v>28</v>
      </c>
      <c r="O3" s="317" t="s">
        <v>29</v>
      </c>
      <c r="P3" s="132" t="s">
        <v>30</v>
      </c>
      <c r="Q3" s="132" t="s">
        <v>31</v>
      </c>
      <c r="R3" s="249" t="s">
        <v>32</v>
      </c>
      <c r="S3" s="149" t="s">
        <v>33</v>
      </c>
      <c r="T3" s="148" t="s">
        <v>34</v>
      </c>
      <c r="U3" s="21"/>
      <c r="V3" s="387" t="s">
        <v>35</v>
      </c>
      <c r="W3" s="39">
        <f>diasfct</f>
        <v>30</v>
      </c>
      <c r="X3" s="47"/>
      <c r="Y3" s="46" t="s">
        <v>36</v>
      </c>
      <c r="Z3" s="46" t="s">
        <v>37</v>
      </c>
      <c r="AA3" s="48" t="s">
        <v>38</v>
      </c>
      <c r="AB3" s="406" t="s">
        <v>39</v>
      </c>
      <c r="AC3" s="388"/>
      <c r="AD3" s="10"/>
      <c r="AE3" s="1"/>
      <c r="AF3" s="22"/>
      <c r="AG3" s="22"/>
      <c r="AH3" s="22"/>
      <c r="AI3" s="22"/>
      <c r="AJ3" s="22"/>
      <c r="AK3" s="22"/>
      <c r="AL3" s="22"/>
      <c r="AM3" s="22"/>
      <c r="AN3" s="22"/>
      <c r="AO3" s="22"/>
      <c r="AP3" s="22"/>
      <c r="AQ3" s="22"/>
      <c r="AR3" s="22"/>
      <c r="AS3" s="22"/>
      <c r="AT3" s="22"/>
      <c r="AU3" s="22"/>
    </row>
    <row r="4" spans="1:47" ht="12.75" x14ac:dyDescent="0.2">
      <c r="A4" s="479"/>
      <c r="B4" s="491" t="s">
        <v>40</v>
      </c>
      <c r="C4" s="492"/>
      <c r="D4" s="345"/>
      <c r="E4" s="290" t="s">
        <v>41</v>
      </c>
      <c r="F4" s="290" t="s">
        <v>41</v>
      </c>
      <c r="G4" s="290" t="s">
        <v>41</v>
      </c>
      <c r="H4" s="290" t="s">
        <v>41</v>
      </c>
      <c r="I4" s="290" t="s">
        <v>41</v>
      </c>
      <c r="J4" s="212" t="s">
        <v>41</v>
      </c>
      <c r="K4" s="212" t="s">
        <v>41</v>
      </c>
      <c r="L4" s="221" t="s">
        <v>42</v>
      </c>
      <c r="M4" s="159" t="s">
        <v>41</v>
      </c>
      <c r="N4" s="329" t="s">
        <v>43</v>
      </c>
      <c r="O4" s="159" t="s">
        <v>41</v>
      </c>
      <c r="P4" s="329" t="s">
        <v>41</v>
      </c>
      <c r="Q4" s="158" t="s">
        <v>41</v>
      </c>
      <c r="R4" s="212" t="s">
        <v>41</v>
      </c>
      <c r="S4" s="165" t="s">
        <v>41</v>
      </c>
      <c r="T4" s="130" t="s">
        <v>44</v>
      </c>
      <c r="U4" s="21"/>
      <c r="V4" s="389" t="s">
        <v>45</v>
      </c>
      <c r="W4" s="40">
        <f>PPdia</f>
        <v>3.5</v>
      </c>
      <c r="X4" s="42"/>
      <c r="Y4" s="208">
        <v>27.704412999999999</v>
      </c>
      <c r="Z4" s="31" t="str">
        <f>CONCATENATE(Y4," €/kW año/365 x ",$W$3,"días x ",W4," kW")</f>
        <v>27,704413 €/kW año/365 x 30días x 3,5 kW</v>
      </c>
      <c r="AA4" s="23">
        <f>W4*(Y4/365)*$W$3</f>
        <v>7.9697626438356171</v>
      </c>
      <c r="AB4" s="33"/>
      <c r="AC4" s="390"/>
      <c r="AD4" s="10"/>
      <c r="AE4" s="1"/>
      <c r="AF4" s="22"/>
      <c r="AG4" s="22"/>
      <c r="AH4" s="22"/>
      <c r="AI4" s="22"/>
      <c r="AJ4" s="22"/>
      <c r="AK4" s="22"/>
      <c r="AL4" s="22"/>
      <c r="AM4" s="22"/>
      <c r="AN4" s="22"/>
      <c r="AO4" s="22"/>
      <c r="AP4" s="22"/>
      <c r="AQ4" s="22"/>
      <c r="AR4" s="22"/>
      <c r="AS4" s="22"/>
      <c r="AT4" s="22"/>
      <c r="AU4" s="22"/>
    </row>
    <row r="5" spans="1:47" ht="12.75" x14ac:dyDescent="0.2">
      <c r="A5" s="479"/>
      <c r="B5" s="505" t="s">
        <v>46</v>
      </c>
      <c r="C5" s="506"/>
      <c r="D5" s="346"/>
      <c r="E5" s="291">
        <v>15</v>
      </c>
      <c r="F5" s="291">
        <v>15</v>
      </c>
      <c r="G5" s="291">
        <v>15</v>
      </c>
      <c r="H5" s="291">
        <v>15</v>
      </c>
      <c r="I5" s="291">
        <v>15</v>
      </c>
      <c r="J5" s="211">
        <v>10</v>
      </c>
      <c r="K5" s="211">
        <v>10</v>
      </c>
      <c r="L5" s="222">
        <v>15</v>
      </c>
      <c r="M5" s="318">
        <v>15</v>
      </c>
      <c r="N5" s="330">
        <v>15</v>
      </c>
      <c r="O5" s="318">
        <v>15</v>
      </c>
      <c r="P5" s="211">
        <v>10</v>
      </c>
      <c r="Q5" s="232">
        <v>15</v>
      </c>
      <c r="R5" s="211">
        <v>15</v>
      </c>
      <c r="S5" s="166">
        <v>10</v>
      </c>
      <c r="T5" s="156" t="s">
        <v>46</v>
      </c>
      <c r="U5" s="21"/>
      <c r="V5" s="391" t="s">
        <v>47</v>
      </c>
      <c r="W5" s="40">
        <f>PVdia</f>
        <v>3.5</v>
      </c>
      <c r="X5" s="43"/>
      <c r="Y5" s="384">
        <v>0.72542300000000004</v>
      </c>
      <c r="Z5" s="31" t="str">
        <f>CONCATENATE(Y5," €/kW año/365 x ",$W$3,"días x ",W5," kW")</f>
        <v>0,725423 €/kW año/365 x 30días x 3,5 kW</v>
      </c>
      <c r="AA5" s="23">
        <f>W5*(Y5/365)*$W$3</f>
        <v>0.20868332876712328</v>
      </c>
      <c r="AB5" s="33"/>
      <c r="AC5" s="390"/>
      <c r="AD5" s="10"/>
      <c r="AE5" s="1"/>
      <c r="AF5" s="22"/>
      <c r="AG5" s="22"/>
      <c r="AH5" s="22"/>
      <c r="AI5" s="22"/>
      <c r="AJ5" s="22"/>
      <c r="AK5" s="22"/>
      <c r="AL5" s="22"/>
      <c r="AM5" s="22"/>
      <c r="AN5" s="22"/>
      <c r="AO5" s="22"/>
      <c r="AP5" s="22"/>
      <c r="AQ5" s="22"/>
      <c r="AR5" s="22"/>
      <c r="AS5" s="22"/>
      <c r="AT5" s="22"/>
      <c r="AU5" s="22"/>
    </row>
    <row r="6" spans="1:47" ht="15.75" customHeight="1" x14ac:dyDescent="0.2">
      <c r="A6" s="479"/>
      <c r="B6" s="507" t="s">
        <v>48</v>
      </c>
      <c r="C6" s="508"/>
      <c r="D6" s="347"/>
      <c r="E6" s="292">
        <v>12</v>
      </c>
      <c r="F6" s="292">
        <v>12</v>
      </c>
      <c r="G6" s="292">
        <v>12</v>
      </c>
      <c r="H6" s="292">
        <v>12</v>
      </c>
      <c r="I6" s="292">
        <v>12</v>
      </c>
      <c r="J6" s="133">
        <v>12</v>
      </c>
      <c r="K6" s="133">
        <v>12</v>
      </c>
      <c r="L6" s="223">
        <v>12</v>
      </c>
      <c r="M6" s="134">
        <v>12</v>
      </c>
      <c r="N6" s="331">
        <v>12</v>
      </c>
      <c r="O6" s="134">
        <v>12</v>
      </c>
      <c r="P6" s="133">
        <v>12</v>
      </c>
      <c r="Q6" s="133">
        <v>12</v>
      </c>
      <c r="R6" s="133">
        <v>12</v>
      </c>
      <c r="S6" s="246" t="s">
        <v>49</v>
      </c>
      <c r="T6" s="128" t="s">
        <v>50</v>
      </c>
      <c r="U6" s="21"/>
      <c r="V6" s="392" t="s">
        <v>51</v>
      </c>
      <c r="W6" s="40">
        <f>W4</f>
        <v>3.5</v>
      </c>
      <c r="X6" s="30"/>
      <c r="Y6" s="208">
        <v>3.113</v>
      </c>
      <c r="Z6" s="31" t="str">
        <f>CONCATENATE(Y6," €/kW año/365 x ",$W$3,"días x ",W6," kW")</f>
        <v>3,113 €/kW año/365 x 30días x 3,5 kW</v>
      </c>
      <c r="AA6" s="23">
        <f>W6*(Y6/365)*$W$3</f>
        <v>0.89552054794520553</v>
      </c>
      <c r="AB6" s="57"/>
      <c r="AC6" s="390"/>
      <c r="AD6" s="10"/>
      <c r="AE6" s="1"/>
      <c r="AF6" s="1"/>
      <c r="AG6" s="1"/>
      <c r="AH6" s="1"/>
      <c r="AI6" s="22"/>
      <c r="AJ6" s="22"/>
      <c r="AK6" s="22"/>
      <c r="AL6" s="22"/>
      <c r="AM6" s="22"/>
      <c r="AN6" s="22"/>
      <c r="AO6" s="22"/>
      <c r="AP6" s="22"/>
      <c r="AQ6" s="22"/>
      <c r="AR6" s="22"/>
      <c r="AS6" s="22"/>
      <c r="AT6" s="22"/>
      <c r="AU6" s="22"/>
    </row>
    <row r="7" spans="1:47" ht="13.5" thickBot="1" x14ac:dyDescent="0.25">
      <c r="A7" s="479"/>
      <c r="B7" s="509" t="s">
        <v>52</v>
      </c>
      <c r="C7" s="510"/>
      <c r="D7" s="348"/>
      <c r="E7" s="293" t="s">
        <v>41</v>
      </c>
      <c r="F7" s="293" t="s">
        <v>53</v>
      </c>
      <c r="G7" s="293" t="s">
        <v>41</v>
      </c>
      <c r="H7" s="293" t="s">
        <v>54</v>
      </c>
      <c r="I7" s="293" t="s">
        <v>54</v>
      </c>
      <c r="J7" s="160" t="s">
        <v>41</v>
      </c>
      <c r="K7" s="160" t="s">
        <v>41</v>
      </c>
      <c r="L7" s="161" t="s">
        <v>41</v>
      </c>
      <c r="M7" s="325" t="s">
        <v>41</v>
      </c>
      <c r="N7" s="332" t="s">
        <v>53</v>
      </c>
      <c r="O7" s="319" t="s">
        <v>41</v>
      </c>
      <c r="P7" s="230" t="s">
        <v>41</v>
      </c>
      <c r="Q7" s="160" t="s">
        <v>41</v>
      </c>
      <c r="R7" s="160" t="s">
        <v>41</v>
      </c>
      <c r="S7" s="162" t="s">
        <v>55</v>
      </c>
      <c r="T7" s="129" t="s">
        <v>56</v>
      </c>
      <c r="U7" s="21"/>
      <c r="V7" s="393" t="s">
        <v>57</v>
      </c>
      <c r="W7" s="41">
        <f>Epunta</f>
        <v>50</v>
      </c>
      <c r="X7" s="26" t="s">
        <v>58</v>
      </c>
      <c r="Y7" s="209">
        <v>9.7553000000000001E-2</v>
      </c>
      <c r="Z7" s="32" t="str">
        <f>CONCATENATE(Y7," €/kWh x ",W7,"kWh")</f>
        <v>0,097553 €/kWh x 50kWh</v>
      </c>
      <c r="AA7" s="24">
        <f>W7*Y7</f>
        <v>4.87765</v>
      </c>
      <c r="AB7" s="34" t="str">
        <f>IF(W10=0,"",$W$10/($W$7+$W$8+$W$9)+Y7)</f>
        <v/>
      </c>
      <c r="AC7" s="394" t="s">
        <v>59</v>
      </c>
      <c r="AD7" s="10"/>
      <c r="AE7" s="1"/>
      <c r="AF7" s="1"/>
      <c r="AG7" s="1"/>
      <c r="AH7" s="1"/>
      <c r="AI7" s="22"/>
      <c r="AJ7" s="22"/>
      <c r="AK7" s="22"/>
      <c r="AL7" s="22"/>
      <c r="AM7" s="22"/>
      <c r="AN7" s="22"/>
      <c r="AO7" s="22"/>
      <c r="AP7" s="22"/>
      <c r="AQ7" s="22"/>
      <c r="AR7" s="22"/>
      <c r="AS7" s="22"/>
      <c r="AT7" s="22"/>
      <c r="AU7" s="22"/>
    </row>
    <row r="8" spans="1:47" ht="12.75" x14ac:dyDescent="0.2">
      <c r="A8" s="479"/>
      <c r="B8" s="511" t="s">
        <v>60</v>
      </c>
      <c r="C8" s="512"/>
      <c r="D8" s="430">
        <v>0</v>
      </c>
      <c r="E8" s="368">
        <v>9.7000000000000003E-2</v>
      </c>
      <c r="F8" s="419">
        <v>8.0532999999999993E-2</v>
      </c>
      <c r="G8" s="419">
        <v>9.4533000000000006E-2</v>
      </c>
      <c r="H8" s="368">
        <f xml:space="preserve"> 0.105</f>
        <v>0.105</v>
      </c>
      <c r="I8" s="419">
        <f>0.10184</f>
        <v>0.10184</v>
      </c>
      <c r="J8" s="370">
        <v>6.0274000000000001E-2</v>
      </c>
      <c r="K8" s="370">
        <v>7.5902999999999998E-2</v>
      </c>
      <c r="L8" s="420">
        <v>8.1918000000000005E-2</v>
      </c>
      <c r="M8" s="378">
        <f>2.5*12/365</f>
        <v>8.2191780821917804E-2</v>
      </c>
      <c r="N8" s="369">
        <v>9.1074000000000002E-2</v>
      </c>
      <c r="O8" s="378">
        <v>0.12303</v>
      </c>
      <c r="P8" s="378">
        <f>26.88/365</f>
        <v>7.364383561643835E-2</v>
      </c>
      <c r="Q8" s="370">
        <f>0.072575</f>
        <v>7.2575000000000001E-2</v>
      </c>
      <c r="R8" s="371">
        <v>8.8356000000000004E-2</v>
      </c>
      <c r="S8" s="372">
        <f>(27.704413+3.113)/365</f>
        <v>8.4431268493150677E-2</v>
      </c>
      <c r="T8" s="190" t="s">
        <v>60</v>
      </c>
      <c r="U8" s="21"/>
      <c r="V8" s="393" t="s">
        <v>61</v>
      </c>
      <c r="W8" s="41">
        <f>Ellano</f>
        <v>50</v>
      </c>
      <c r="X8" s="26" t="s">
        <v>62</v>
      </c>
      <c r="Y8" s="209">
        <v>2.9267000000000001E-2</v>
      </c>
      <c r="Z8" s="32" t="str">
        <f>CONCATENATE(Y8," €/kWh x ",W8,"kWh")</f>
        <v>0,029267 €/kWh x 50kWh</v>
      </c>
      <c r="AA8" s="24">
        <f>W8*Y8</f>
        <v>1.4633500000000002</v>
      </c>
      <c r="AB8" s="36" t="str">
        <f>IF(W10=0,"",$W$10/($W$7+$W$8+$W$9)+Y8)</f>
        <v/>
      </c>
      <c r="AC8" s="395" t="s">
        <v>63</v>
      </c>
      <c r="AD8" s="10"/>
      <c r="AE8" s="1"/>
      <c r="AF8" s="1"/>
      <c r="AG8" s="1"/>
      <c r="AH8" s="1"/>
      <c r="AI8" s="22"/>
      <c r="AJ8" s="22"/>
      <c r="AK8" s="22"/>
      <c r="AL8" s="22"/>
      <c r="AM8" s="22"/>
      <c r="AN8" s="22"/>
      <c r="AO8" s="22"/>
      <c r="AP8" s="22"/>
      <c r="AQ8" s="22"/>
      <c r="AR8" s="22"/>
      <c r="AS8" s="22"/>
      <c r="AT8" s="22"/>
      <c r="AU8" s="22"/>
    </row>
    <row r="9" spans="1:47" ht="13.5" thickBot="1" x14ac:dyDescent="0.25">
      <c r="A9" s="479"/>
      <c r="B9" s="521" t="str">
        <f>IF(AND(D8&gt;0.135,D8&lt;0.137),"Si es TotalEnergies, P2=0, OJO","Potencia valle (€/kW y día)")</f>
        <v>Potencia valle (€/kW y día)</v>
      </c>
      <c r="C9" s="522"/>
      <c r="D9" s="431"/>
      <c r="E9" s="373">
        <f>9.855/365</f>
        <v>2.7E-2</v>
      </c>
      <c r="F9" s="418">
        <v>7.4070000000000004E-3</v>
      </c>
      <c r="G9" s="418">
        <v>4.6371000000000002E-2</v>
      </c>
      <c r="H9" s="373">
        <f>0.048</f>
        <v>4.8000000000000001E-2</v>
      </c>
      <c r="I9" s="418">
        <f>0.022498</f>
        <v>2.2498000000000001E-2</v>
      </c>
      <c r="J9" s="375">
        <f>J8</f>
        <v>6.0274000000000001E-2</v>
      </c>
      <c r="K9" s="375">
        <v>1.9870000000000001E-3</v>
      </c>
      <c r="L9" s="421">
        <v>8.1918000000000005E-2</v>
      </c>
      <c r="M9" s="379">
        <f xml:space="preserve"> 0.0833*12/365</f>
        <v>2.7386301369863014E-3</v>
      </c>
      <c r="N9" s="374">
        <v>1.3483E-2</v>
      </c>
      <c r="O9" s="379">
        <v>3.7337000000000002E-2</v>
      </c>
      <c r="P9" s="379">
        <f>26.88/365</f>
        <v>7.364383561643835E-2</v>
      </c>
      <c r="Q9" s="375">
        <f>Q8</f>
        <v>7.2575000000000001E-2</v>
      </c>
      <c r="R9" s="376">
        <v>8.8356000000000004E-2</v>
      </c>
      <c r="S9" s="377">
        <f>0.725423/365</f>
        <v>1.9874602739726028E-3</v>
      </c>
      <c r="T9" s="191" t="s">
        <v>64</v>
      </c>
      <c r="U9" s="21"/>
      <c r="V9" s="393" t="s">
        <v>65</v>
      </c>
      <c r="W9" s="41">
        <f>Evalle</f>
        <v>100</v>
      </c>
      <c r="X9" s="26" t="s">
        <v>66</v>
      </c>
      <c r="Y9" s="209">
        <v>3.2919999999999998E-3</v>
      </c>
      <c r="Z9" s="32" t="str">
        <f>CONCATENATE(Y9," €/kWh x ",W9,"kWh")</f>
        <v>0,003292 €/kWh x 100kWh</v>
      </c>
      <c r="AA9" s="24">
        <f>W9*Y9</f>
        <v>0.32919999999999999</v>
      </c>
      <c r="AB9" s="35" t="str">
        <f>IF(W10=0,"",$W$10/($W$7+$W$8+$W$9)+Y9)</f>
        <v/>
      </c>
      <c r="AC9" s="396" t="s">
        <v>67</v>
      </c>
      <c r="AD9" s="10"/>
      <c r="AE9" s="1"/>
      <c r="AF9" s="1"/>
      <c r="AG9" s="1"/>
      <c r="AH9" s="1"/>
      <c r="AI9" s="22"/>
      <c r="AJ9" s="22"/>
      <c r="AK9" s="22"/>
      <c r="AL9" s="22"/>
      <c r="AM9" s="22"/>
      <c r="AN9" s="22"/>
      <c r="AO9" s="22"/>
      <c r="AP9" s="22"/>
      <c r="AQ9" s="22"/>
      <c r="AR9" s="22"/>
      <c r="AS9" s="22"/>
      <c r="AT9" s="22"/>
      <c r="AU9" s="22"/>
    </row>
    <row r="10" spans="1:47" ht="15.75" customHeight="1" x14ac:dyDescent="0.25">
      <c r="A10" s="479"/>
      <c r="B10" s="489" t="s">
        <v>68</v>
      </c>
      <c r="C10" s="490"/>
      <c r="D10" s="525">
        <f t="shared" ref="D10:Q10" si="0">IFERROR(D8+D9,"")</f>
        <v>0</v>
      </c>
      <c r="E10" s="526">
        <f t="shared" ref="E10:J10" si="1">IFERROR(E8+E9,"")</f>
        <v>0.124</v>
      </c>
      <c r="F10" s="526">
        <f t="shared" ref="F10:G10" si="2">IFERROR(F8+F9,"")</f>
        <v>8.793999999999999E-2</v>
      </c>
      <c r="G10" s="526">
        <f t="shared" si="2"/>
        <v>0.140904</v>
      </c>
      <c r="H10" s="526">
        <f>IFERROR(H8+H9,"")</f>
        <v>0.153</v>
      </c>
      <c r="I10" s="526">
        <f>IFERROR(I8+I9,"")</f>
        <v>0.124338</v>
      </c>
      <c r="J10" s="525">
        <f t="shared" si="1"/>
        <v>0.120548</v>
      </c>
      <c r="K10" s="525">
        <f t="shared" ref="K10" si="3">IFERROR(K8+K9,"")</f>
        <v>7.7890000000000001E-2</v>
      </c>
      <c r="L10" s="527">
        <f t="shared" si="0"/>
        <v>0.16383600000000001</v>
      </c>
      <c r="M10" s="528">
        <f t="shared" ref="M10" si="4">IFERROR(M8+M9,"")</f>
        <v>8.4930410958904107E-2</v>
      </c>
      <c r="N10" s="529">
        <f t="shared" si="0"/>
        <v>0.104557</v>
      </c>
      <c r="O10" s="528">
        <f t="shared" si="0"/>
        <v>0.16036700000000001</v>
      </c>
      <c r="P10" s="525">
        <f t="shared" si="0"/>
        <v>0.1472876712328767</v>
      </c>
      <c r="Q10" s="525">
        <f t="shared" si="0"/>
        <v>0.14515</v>
      </c>
      <c r="R10" s="525">
        <f t="shared" ref="R10" si="5">IFERROR(R8+R9,"")</f>
        <v>0.17671200000000001</v>
      </c>
      <c r="S10" s="530">
        <f>S8+S9</f>
        <v>8.6418728767123282E-2</v>
      </c>
      <c r="T10" s="112" t="s">
        <v>68</v>
      </c>
      <c r="U10" s="21"/>
      <c r="V10" s="397" t="s">
        <v>69</v>
      </c>
      <c r="W10" s="405"/>
      <c r="X10" s="59" t="s">
        <v>70</v>
      </c>
      <c r="Y10" s="44"/>
      <c r="Z10" s="45"/>
      <c r="AA10" s="25">
        <f>W10</f>
        <v>0</v>
      </c>
      <c r="AB10" s="33"/>
      <c r="AC10" s="390"/>
      <c r="AD10" s="10"/>
      <c r="AE10" s="1"/>
      <c r="AF10" s="1"/>
      <c r="AG10" s="1"/>
      <c r="AH10" s="1"/>
      <c r="AI10" s="22"/>
      <c r="AJ10" s="22"/>
      <c r="AK10" s="22"/>
      <c r="AL10" s="22"/>
      <c r="AM10" s="22"/>
      <c r="AN10" s="22"/>
      <c r="AO10" s="22"/>
      <c r="AP10" s="22"/>
      <c r="AQ10" s="22"/>
      <c r="AR10" s="22"/>
      <c r="AS10" s="22"/>
      <c r="AT10" s="22"/>
      <c r="AU10" s="22"/>
    </row>
    <row r="11" spans="1:47" s="22" customFormat="1" ht="15.75" customHeight="1" x14ac:dyDescent="0.2">
      <c r="A11" s="479"/>
      <c r="B11" s="519" t="s">
        <v>71</v>
      </c>
      <c r="C11" s="520"/>
      <c r="D11" s="213" t="str">
        <f>CONCATENATE(ROUND(D8*365,2),"+",ROUND(D9*365,2)," año")</f>
        <v>0+0 año</v>
      </c>
      <c r="E11" s="174" t="str">
        <f>CONCATENATE(ROUND(E8*365,2),"+",ROUND(E9*365,2)," año")</f>
        <v>35,41+9,86 año</v>
      </c>
      <c r="F11" s="174" t="str">
        <f t="shared" ref="F11:G11" si="6">CONCATENATE(ROUND(F8*365,2),"+",ROUND(F9*365,2)," año")</f>
        <v>29,39+2,7 año</v>
      </c>
      <c r="G11" s="174" t="str">
        <f t="shared" si="6"/>
        <v>34,5+16,93 año</v>
      </c>
      <c r="H11" s="174" t="str">
        <f>CONCATENATE(ROUND(H8*365,2),"+",ROUND(H9*365,2)," año")</f>
        <v>38,33+17,52 año</v>
      </c>
      <c r="I11" s="174" t="str">
        <f>CONCATENATE(ROUND(I8*365,2),"+",ROUND(I9*365,2)," año")</f>
        <v>37,17+8,21 año</v>
      </c>
      <c r="J11" s="213" t="str">
        <f t="shared" ref="J11:S11" si="7">CONCATENATE(ROUND(J8*365,2),"+",ROUND(J9*365,2)," año")</f>
        <v>22+22 año</v>
      </c>
      <c r="K11" s="213" t="str">
        <f t="shared" ref="K11" si="8">CONCATENATE(ROUND(K8*365,2),"+",ROUND(K9*365,2)," año")</f>
        <v>27,7+0,73 año</v>
      </c>
      <c r="L11" s="217" t="str">
        <f t="shared" si="7"/>
        <v>29,9+29,9 año</v>
      </c>
      <c r="M11" s="234" t="str">
        <f t="shared" ref="M11" si="9">CONCATENATE(ROUND(M8*365,2),"+",ROUND(M9*365,2)," año")</f>
        <v>30+1 año</v>
      </c>
      <c r="N11" s="333" t="str">
        <f t="shared" si="7"/>
        <v>33,24+4,92 año</v>
      </c>
      <c r="O11" s="234" t="str">
        <f t="shared" si="7"/>
        <v>44,91+13,63 año</v>
      </c>
      <c r="P11" s="213" t="str">
        <f t="shared" si="7"/>
        <v>26,88+26,88 año</v>
      </c>
      <c r="Q11" s="213" t="str">
        <f t="shared" si="7"/>
        <v>26,49+26,49 año</v>
      </c>
      <c r="R11" s="213" t="str">
        <f>CONCATENATE(ROUND(R8*365,2),"+",ROUND(R9*365,2)," año")</f>
        <v>32,25+32,25 año</v>
      </c>
      <c r="S11" s="174" t="str">
        <f t="shared" si="7"/>
        <v>30,82+0,73 año</v>
      </c>
      <c r="T11" s="112"/>
      <c r="U11" s="21"/>
      <c r="V11" s="411" t="s">
        <v>72</v>
      </c>
      <c r="W11" s="412"/>
      <c r="X11" s="412"/>
      <c r="Y11" s="412"/>
      <c r="Z11" s="412"/>
      <c r="AA11" s="413">
        <f>AA4+AA5+AA6</f>
        <v>9.0739665205479447</v>
      </c>
      <c r="AB11" s="49" t="str">
        <f>IF(W10=0,"",+AA12/(W7+W8+W9))</f>
        <v/>
      </c>
      <c r="AC11" s="398" t="s">
        <v>73</v>
      </c>
      <c r="AD11" s="10"/>
      <c r="AE11" s="1"/>
      <c r="AF11" s="1"/>
      <c r="AG11" s="1"/>
      <c r="AH11" s="1"/>
    </row>
    <row r="12" spans="1:47" ht="15.75" customHeight="1" thickBot="1" x14ac:dyDescent="0.25">
      <c r="A12" s="479"/>
      <c r="B12" s="491" t="s">
        <v>74</v>
      </c>
      <c r="C12" s="492"/>
      <c r="D12" s="349"/>
      <c r="E12" s="294">
        <v>1</v>
      </c>
      <c r="F12" s="294">
        <v>3</v>
      </c>
      <c r="G12" s="294">
        <v>3</v>
      </c>
      <c r="H12" s="294">
        <v>1</v>
      </c>
      <c r="I12" s="294">
        <v>3</v>
      </c>
      <c r="J12" s="119">
        <v>1</v>
      </c>
      <c r="K12" s="119">
        <v>3</v>
      </c>
      <c r="L12" s="120">
        <v>1</v>
      </c>
      <c r="M12" s="326">
        <v>3</v>
      </c>
      <c r="N12" s="334">
        <v>3</v>
      </c>
      <c r="O12" s="320">
        <v>3</v>
      </c>
      <c r="P12" s="231">
        <v>3</v>
      </c>
      <c r="Q12" s="119">
        <v>3</v>
      </c>
      <c r="R12" s="119">
        <v>3</v>
      </c>
      <c r="S12" s="153">
        <v>3</v>
      </c>
      <c r="T12" s="169" t="s">
        <v>74</v>
      </c>
      <c r="U12" s="21"/>
      <c r="V12" s="411" t="s">
        <v>75</v>
      </c>
      <c r="W12" s="412"/>
      <c r="X12" s="412"/>
      <c r="Y12" s="412"/>
      <c r="Z12" s="412"/>
      <c r="AA12" s="414">
        <f>IF(W10=0,S44,+AA7+AA8+AA9+AA10)</f>
        <v>26.189999999999998</v>
      </c>
      <c r="AB12" s="27"/>
      <c r="AC12" s="399"/>
      <c r="AD12" s="10"/>
      <c r="AE12" s="1"/>
      <c r="AF12" s="1"/>
      <c r="AG12" s="1"/>
      <c r="AH12" s="1"/>
      <c r="AI12" s="22"/>
      <c r="AJ12" s="22"/>
      <c r="AK12" s="22"/>
      <c r="AL12" s="22"/>
      <c r="AM12" s="22"/>
      <c r="AN12" s="22"/>
      <c r="AO12" s="22"/>
      <c r="AP12" s="22"/>
      <c r="AQ12" s="22"/>
      <c r="AR12" s="22"/>
      <c r="AS12" s="22"/>
      <c r="AT12" s="22"/>
      <c r="AU12" s="22"/>
    </row>
    <row r="13" spans="1:47" ht="15.75" customHeight="1" x14ac:dyDescent="0.2">
      <c r="A13" s="479"/>
      <c r="B13" s="493" t="str">
        <f>IF(D13&gt;0.35,"Parece un poco elevado","Energía punta €/kWh ofertado")</f>
        <v>Energía punta €/kWh ofertado</v>
      </c>
      <c r="C13" s="494"/>
      <c r="D13" s="350">
        <v>0</v>
      </c>
      <c r="E13" s="422">
        <v>0.12</v>
      </c>
      <c r="F13" s="445">
        <v>0.18702099999999999</v>
      </c>
      <c r="G13" s="423">
        <v>0.191853</v>
      </c>
      <c r="H13" s="442">
        <v>0.105</v>
      </c>
      <c r="I13" s="445">
        <v>0.17769099999999999</v>
      </c>
      <c r="J13" s="424">
        <v>9.7999000000000003E-2</v>
      </c>
      <c r="K13" s="424">
        <v>0.195822</v>
      </c>
      <c r="L13" s="425">
        <v>0.11990000000000001</v>
      </c>
      <c r="M13" s="449">
        <v>0.16650000000000001</v>
      </c>
      <c r="N13" s="447">
        <v>0.19400000000000001</v>
      </c>
      <c r="O13" s="451">
        <v>0.1802</v>
      </c>
      <c r="P13" s="452">
        <v>0.1656</v>
      </c>
      <c r="Q13" s="444">
        <v>0.173572</v>
      </c>
      <c r="R13" s="426">
        <v>0.219</v>
      </c>
      <c r="S13" s="427">
        <f>+$T$17+0.057</f>
        <v>0.19169999999999998</v>
      </c>
      <c r="T13" s="150" t="s">
        <v>76</v>
      </c>
      <c r="U13" s="21"/>
      <c r="V13" s="8" t="s">
        <v>77</v>
      </c>
      <c r="W13" s="50"/>
      <c r="X13" s="11"/>
      <c r="Y13" s="8"/>
      <c r="Z13" s="21"/>
      <c r="AA13" s="50">
        <f>MAX($C$33*0.001,(AA11+AA12)*IEact)</f>
        <v>1.8019886891999997</v>
      </c>
      <c r="AB13" s="10"/>
      <c r="AC13" s="390"/>
      <c r="AD13" s="10"/>
      <c r="AE13" s="1"/>
      <c r="AF13" s="1"/>
      <c r="AG13" s="1"/>
      <c r="AH13" s="1"/>
      <c r="AI13" s="22"/>
      <c r="AJ13" s="22"/>
      <c r="AK13" s="22"/>
      <c r="AL13" s="22"/>
      <c r="AM13" s="22"/>
      <c r="AN13" s="22"/>
      <c r="AO13" s="22"/>
      <c r="AP13" s="22"/>
      <c r="AQ13" s="22"/>
      <c r="AR13" s="22"/>
      <c r="AS13" s="22"/>
      <c r="AT13" s="22"/>
      <c r="AU13" s="22"/>
    </row>
    <row r="14" spans="1:47" ht="15.75" customHeight="1" x14ac:dyDescent="0.2">
      <c r="A14" s="479"/>
      <c r="B14" s="495" t="str">
        <f>IF(D14&gt;0.35,"Parece un poco elevado","Energía llana €/kWh ofertado")</f>
        <v>Energía llana €/kWh ofertado</v>
      </c>
      <c r="C14" s="496"/>
      <c r="D14" s="350">
        <v>0</v>
      </c>
      <c r="E14" s="422">
        <v>0.12</v>
      </c>
      <c r="F14" s="445">
        <v>0.13506599999999999</v>
      </c>
      <c r="G14" s="423">
        <v>0.115288</v>
      </c>
      <c r="H14" s="442">
        <v>0.105</v>
      </c>
      <c r="I14" s="445">
        <v>0.10387</v>
      </c>
      <c r="J14" s="424">
        <v>9.7999000000000003E-2</v>
      </c>
      <c r="K14" s="424">
        <v>0.114195</v>
      </c>
      <c r="L14" s="425">
        <v>0.11990000000000001</v>
      </c>
      <c r="M14" s="450">
        <v>0.13005</v>
      </c>
      <c r="N14" s="447">
        <v>0.13600000000000001</v>
      </c>
      <c r="O14" s="451">
        <v>0.1072</v>
      </c>
      <c r="P14" s="452">
        <v>9.7199999999999995E-2</v>
      </c>
      <c r="Q14" s="444">
        <v>0.10392999999999999</v>
      </c>
      <c r="R14" s="426">
        <v>0.219</v>
      </c>
      <c r="S14" s="427">
        <f>+$T$17-0.012</f>
        <v>0.12269999999999999</v>
      </c>
      <c r="T14" s="150" t="s">
        <v>78</v>
      </c>
      <c r="U14" s="21"/>
      <c r="V14" s="8" t="s">
        <v>79</v>
      </c>
      <c r="W14" s="50"/>
      <c r="X14" s="11"/>
      <c r="Y14" s="8"/>
      <c r="Z14" s="21"/>
      <c r="AA14" s="50">
        <f>+contadordia*$W$3</f>
        <v>0.81</v>
      </c>
      <c r="AB14" s="10"/>
      <c r="AC14" s="390"/>
      <c r="AD14" s="10"/>
      <c r="AE14" s="1"/>
      <c r="AF14" s="1"/>
      <c r="AG14" s="1"/>
      <c r="AH14" s="1"/>
      <c r="AI14" s="22"/>
      <c r="AJ14" s="22"/>
      <c r="AK14" s="22"/>
      <c r="AL14" s="22"/>
      <c r="AM14" s="22"/>
      <c r="AN14" s="22"/>
      <c r="AO14" s="22"/>
      <c r="AP14" s="22"/>
      <c r="AQ14" s="22"/>
      <c r="AR14" s="22"/>
      <c r="AS14" s="22"/>
      <c r="AT14" s="22"/>
      <c r="AU14" s="22"/>
    </row>
    <row r="15" spans="1:47" ht="15.75" customHeight="1" x14ac:dyDescent="0.2">
      <c r="A15" s="479"/>
      <c r="B15" s="495" t="str">
        <f>IF(D15&gt;0.35,"Parece un poco elevado","Energía valle €/kWh ofertado")</f>
        <v>Energía valle €/kWh ofertado</v>
      </c>
      <c r="C15" s="496"/>
      <c r="D15" s="350">
        <v>0</v>
      </c>
      <c r="E15" s="422">
        <v>0.12</v>
      </c>
      <c r="F15" s="445">
        <v>8.5297999999999999E-2</v>
      </c>
      <c r="G15" s="423">
        <v>8.0718999999999999E-2</v>
      </c>
      <c r="H15" s="442">
        <v>0.105</v>
      </c>
      <c r="I15" s="445">
        <v>6.9472999999999993E-2</v>
      </c>
      <c r="J15" s="424">
        <v>9.7999000000000003E-2</v>
      </c>
      <c r="K15" s="424">
        <v>8.6542999999999995E-2</v>
      </c>
      <c r="L15" s="425">
        <v>0.11990000000000001</v>
      </c>
      <c r="M15" s="450">
        <v>0.10305</v>
      </c>
      <c r="N15" s="447">
        <v>9.9989999999999996E-2</v>
      </c>
      <c r="O15" s="451">
        <v>7.1800000000000003E-2</v>
      </c>
      <c r="P15" s="452">
        <v>7.3800000000000004E-2</v>
      </c>
      <c r="Q15" s="444">
        <v>7.6175999999999994E-2</v>
      </c>
      <c r="R15" s="426">
        <v>5.8999999999999997E-2</v>
      </c>
      <c r="S15" s="427">
        <f>+$T$17-0.03</f>
        <v>0.10469999999999999</v>
      </c>
      <c r="T15" s="150" t="s">
        <v>80</v>
      </c>
      <c r="U15" s="21"/>
      <c r="V15" s="8" t="s">
        <v>81</v>
      </c>
      <c r="W15" s="50"/>
      <c r="X15" s="11"/>
      <c r="Y15" s="8"/>
      <c r="Z15" s="21"/>
      <c r="AA15" s="50">
        <f>+finbonsoc*diasfct</f>
        <v>0.57363673972602736</v>
      </c>
      <c r="AB15" s="10"/>
      <c r="AC15" s="390"/>
      <c r="AD15" s="10"/>
      <c r="AE15" s="1"/>
      <c r="AF15" s="1"/>
      <c r="AG15" s="1"/>
      <c r="AH15" s="1"/>
      <c r="AI15" s="22"/>
      <c r="AJ15" s="22"/>
      <c r="AK15" s="22"/>
      <c r="AL15" s="22"/>
      <c r="AM15" s="22"/>
      <c r="AN15" s="22"/>
      <c r="AO15" s="22"/>
      <c r="AP15" s="22"/>
      <c r="AQ15" s="22"/>
      <c r="AR15" s="22"/>
      <c r="AS15" s="22"/>
      <c r="AT15" s="22"/>
      <c r="AU15" s="22"/>
    </row>
    <row r="16" spans="1:47" s="20" customFormat="1" ht="15.75" customHeight="1" x14ac:dyDescent="0.2">
      <c r="A16" s="479"/>
      <c r="B16" s="241" t="s">
        <v>82</v>
      </c>
      <c r="C16" s="170"/>
      <c r="D16" s="351">
        <v>0</v>
      </c>
      <c r="E16" s="295">
        <v>0</v>
      </c>
      <c r="F16" s="295">
        <v>0.08</v>
      </c>
      <c r="G16" s="295">
        <v>0.02</v>
      </c>
      <c r="H16" s="295">
        <v>0.03</v>
      </c>
      <c r="I16" s="295">
        <v>0.03</v>
      </c>
      <c r="J16" s="295">
        <v>0.04</v>
      </c>
      <c r="K16" s="295">
        <v>0.04</v>
      </c>
      <c r="L16" s="229">
        <v>0</v>
      </c>
      <c r="M16" s="235">
        <v>0</v>
      </c>
      <c r="N16" s="335">
        <v>0.03</v>
      </c>
      <c r="O16" s="235">
        <v>0.06</v>
      </c>
      <c r="P16" s="227">
        <v>0</v>
      </c>
      <c r="Q16" s="198">
        <v>7.0000000000000007E-2</v>
      </c>
      <c r="R16" s="198">
        <v>0.04</v>
      </c>
      <c r="S16" s="164">
        <v>0.02</v>
      </c>
      <c r="T16" s="150" t="s">
        <v>83</v>
      </c>
      <c r="U16" s="21"/>
      <c r="V16" s="400"/>
      <c r="W16" s="51"/>
      <c r="X16" s="54"/>
      <c r="Y16" s="8"/>
      <c r="Z16" s="21"/>
      <c r="AA16" s="51"/>
      <c r="AB16" s="10"/>
      <c r="AC16" s="390"/>
      <c r="AD16" s="10"/>
      <c r="AE16" s="1"/>
      <c r="AF16" s="1"/>
      <c r="AG16" s="1"/>
      <c r="AH16" s="1"/>
      <c r="AI16" s="22"/>
      <c r="AJ16" s="22"/>
      <c r="AK16" s="22"/>
      <c r="AL16" s="22"/>
      <c r="AM16" s="22"/>
      <c r="AN16" s="22"/>
      <c r="AO16" s="22"/>
      <c r="AP16" s="22"/>
      <c r="AQ16" s="22"/>
      <c r="AR16" s="22"/>
      <c r="AS16" s="22"/>
      <c r="AT16" s="22"/>
      <c r="AU16" s="22"/>
    </row>
    <row r="17" spans="1:47" s="22" customFormat="1" ht="54" customHeight="1" x14ac:dyDescent="0.2">
      <c r="A17" s="479"/>
      <c r="B17" s="497" t="s">
        <v>84</v>
      </c>
      <c r="C17" s="498"/>
      <c r="D17" s="352" t="s">
        <v>85</v>
      </c>
      <c r="E17" s="296" t="s">
        <v>85</v>
      </c>
      <c r="F17" s="296" t="s">
        <v>86</v>
      </c>
      <c r="G17" s="296" t="s">
        <v>86</v>
      </c>
      <c r="H17" s="296" t="s">
        <v>86</v>
      </c>
      <c r="I17" s="296" t="s">
        <v>86</v>
      </c>
      <c r="J17" s="296" t="s">
        <v>87</v>
      </c>
      <c r="K17" s="296" t="s">
        <v>87</v>
      </c>
      <c r="L17" s="336" t="s">
        <v>85</v>
      </c>
      <c r="M17" s="416" t="s">
        <v>85</v>
      </c>
      <c r="N17" s="336" t="s">
        <v>86</v>
      </c>
      <c r="O17" s="118" t="s">
        <v>86</v>
      </c>
      <c r="P17" s="416" t="s">
        <v>85</v>
      </c>
      <c r="Q17" s="113" t="s">
        <v>87</v>
      </c>
      <c r="R17" s="113" t="s">
        <v>88</v>
      </c>
      <c r="S17" s="117" t="s">
        <v>88</v>
      </c>
      <c r="T17" s="195">
        <v>0.13469999999999999</v>
      </c>
      <c r="U17" s="21"/>
      <c r="V17" s="401" t="s">
        <v>89</v>
      </c>
      <c r="W17" s="52"/>
      <c r="X17" s="9"/>
      <c r="Y17" s="8"/>
      <c r="Z17" s="21"/>
      <c r="AA17" s="52">
        <f>+AA11+AA12+AA13+AA14+AA15</f>
        <v>38.44959194947397</v>
      </c>
      <c r="AB17" s="10"/>
      <c r="AC17" s="390"/>
      <c r="AD17" s="10"/>
      <c r="AE17" s="1"/>
      <c r="AF17" s="1"/>
      <c r="AG17" s="1"/>
      <c r="AH17" s="1"/>
    </row>
    <row r="18" spans="1:47" s="22" customFormat="1" ht="15.75" customHeight="1" x14ac:dyDescent="0.2">
      <c r="A18" s="479"/>
      <c r="B18" s="242" t="s">
        <v>90</v>
      </c>
      <c r="C18" s="135"/>
      <c r="D18" s="353" t="s">
        <v>54</v>
      </c>
      <c r="E18" s="380">
        <v>0</v>
      </c>
      <c r="F18" s="380">
        <v>0</v>
      </c>
      <c r="G18" s="380">
        <v>0</v>
      </c>
      <c r="H18" s="380">
        <v>0</v>
      </c>
      <c r="I18" s="380">
        <v>0</v>
      </c>
      <c r="J18" s="381" t="s">
        <v>54</v>
      </c>
      <c r="K18" s="381" t="s">
        <v>54</v>
      </c>
      <c r="L18" s="382" t="s">
        <v>41</v>
      </c>
      <c r="M18" s="415" t="s">
        <v>41</v>
      </c>
      <c r="N18" s="341">
        <v>0</v>
      </c>
      <c r="O18" s="342">
        <v>0</v>
      </c>
      <c r="P18" s="343">
        <v>0</v>
      </c>
      <c r="Q18" s="381" t="s">
        <v>54</v>
      </c>
      <c r="R18" s="381" t="s">
        <v>41</v>
      </c>
      <c r="S18" s="383" t="s">
        <v>54</v>
      </c>
      <c r="T18" s="196">
        <v>0.14408099999999999</v>
      </c>
      <c r="U18" s="21"/>
      <c r="V18" s="401"/>
      <c r="W18" s="52"/>
      <c r="X18" s="9"/>
      <c r="Y18" s="8"/>
      <c r="Z18" s="21"/>
      <c r="AA18" s="52"/>
      <c r="AB18" s="10"/>
      <c r="AC18" s="390"/>
      <c r="AD18" s="10"/>
      <c r="AE18" s="1"/>
      <c r="AF18" s="1"/>
      <c r="AG18" s="1"/>
      <c r="AH18" s="1"/>
    </row>
    <row r="19" spans="1:47" ht="27.75" customHeight="1" thickBot="1" x14ac:dyDescent="0.25">
      <c r="A19" s="480"/>
      <c r="B19" s="523" t="s">
        <v>91</v>
      </c>
      <c r="C19" s="524"/>
      <c r="D19" s="434"/>
      <c r="E19" s="297">
        <v>46030</v>
      </c>
      <c r="F19" s="297">
        <v>46091</v>
      </c>
      <c r="G19" s="297">
        <v>46091</v>
      </c>
      <c r="H19" s="297">
        <v>46095</v>
      </c>
      <c r="I19" s="297">
        <v>46071</v>
      </c>
      <c r="J19" s="214">
        <v>46091</v>
      </c>
      <c r="K19" s="214">
        <v>46096</v>
      </c>
      <c r="L19" s="224">
        <v>46086</v>
      </c>
      <c r="M19" s="236">
        <v>46091</v>
      </c>
      <c r="N19" s="337">
        <v>46091</v>
      </c>
      <c r="O19" s="236">
        <v>46069</v>
      </c>
      <c r="P19" s="214">
        <v>46084</v>
      </c>
      <c r="Q19" s="214">
        <v>46093</v>
      </c>
      <c r="R19" s="214">
        <v>45991</v>
      </c>
      <c r="S19" s="163">
        <v>46093</v>
      </c>
      <c r="T19" s="168" t="s">
        <v>92</v>
      </c>
      <c r="U19" s="21"/>
      <c r="V19" s="28" t="s">
        <v>93</v>
      </c>
      <c r="W19" s="56">
        <f>IVAact</f>
        <v>0.21</v>
      </c>
      <c r="X19" s="55"/>
      <c r="Y19" s="28"/>
      <c r="Z19" s="29"/>
      <c r="AA19" s="53">
        <f>+AA17*W19</f>
        <v>8.0744143093895335</v>
      </c>
      <c r="AB19" s="10"/>
      <c r="AC19" s="390"/>
      <c r="AD19" s="10"/>
      <c r="AE19" s="1"/>
      <c r="AF19" s="1"/>
      <c r="AG19" s="1"/>
      <c r="AH19" s="1"/>
      <c r="AI19" s="22"/>
      <c r="AJ19" s="22"/>
      <c r="AK19" s="22"/>
      <c r="AL19" s="22"/>
      <c r="AM19" s="22"/>
      <c r="AN19" s="22"/>
      <c r="AO19" s="22"/>
      <c r="AP19" s="22"/>
      <c r="AQ19" s="22"/>
      <c r="AR19" s="22"/>
      <c r="AS19" s="22"/>
      <c r="AT19" s="22"/>
      <c r="AU19" s="22"/>
    </row>
    <row r="20" spans="1:47" ht="47.25" customHeight="1" thickBot="1" x14ac:dyDescent="0.25">
      <c r="A20" s="175"/>
      <c r="B20" s="483" t="s">
        <v>94</v>
      </c>
      <c r="C20" s="484"/>
      <c r="D20" s="501" t="s">
        <v>95</v>
      </c>
      <c r="E20" s="355" t="s">
        <v>96</v>
      </c>
      <c r="F20" s="448" t="s">
        <v>97</v>
      </c>
      <c r="G20" s="298" t="s">
        <v>98</v>
      </c>
      <c r="H20" s="298"/>
      <c r="I20" s="298"/>
      <c r="J20" s="298"/>
      <c r="K20" s="298"/>
      <c r="L20" s="225"/>
      <c r="M20" s="327" t="s">
        <v>99</v>
      </c>
      <c r="N20" s="338" t="s">
        <v>100</v>
      </c>
      <c r="O20" s="237" t="s">
        <v>101</v>
      </c>
      <c r="P20" s="316" t="s">
        <v>102</v>
      </c>
      <c r="Q20" s="316" t="s">
        <v>103</v>
      </c>
      <c r="R20" s="215" t="s">
        <v>104</v>
      </c>
      <c r="S20" s="321" t="s">
        <v>165</v>
      </c>
      <c r="T20" s="167" t="s">
        <v>105</v>
      </c>
      <c r="U20" s="21"/>
      <c r="V20" s="407" t="s">
        <v>106</v>
      </c>
      <c r="W20" s="408"/>
      <c r="X20" s="408"/>
      <c r="Y20" s="408"/>
      <c r="Z20" s="409"/>
      <c r="AA20" s="410">
        <f>AA17+AA19</f>
        <v>46.524006258863501</v>
      </c>
      <c r="AB20" s="402"/>
      <c r="AC20" s="403"/>
      <c r="AD20" s="21"/>
      <c r="AE20" s="1"/>
      <c r="AF20" s="1"/>
      <c r="AG20" s="1"/>
      <c r="AH20" s="1"/>
      <c r="AI20" s="22"/>
      <c r="AJ20" s="22"/>
      <c r="AK20" s="22"/>
      <c r="AL20" s="22"/>
      <c r="AM20" s="22"/>
      <c r="AN20" s="22"/>
      <c r="AO20" s="22"/>
      <c r="AP20" s="22"/>
      <c r="AQ20" s="22"/>
      <c r="AR20" s="22"/>
      <c r="AS20" s="22"/>
      <c r="AT20" s="22"/>
      <c r="AU20" s="22"/>
    </row>
    <row r="21" spans="1:47" s="22" customFormat="1" ht="85.5" customHeight="1" thickTop="1" thickBot="1" x14ac:dyDescent="0.25">
      <c r="A21" s="175"/>
      <c r="B21" s="485" t="s">
        <v>107</v>
      </c>
      <c r="C21" s="486"/>
      <c r="D21" s="502"/>
      <c r="E21" s="298" t="s">
        <v>108</v>
      </c>
      <c r="F21" s="298" t="s">
        <v>109</v>
      </c>
      <c r="G21" s="298" t="s">
        <v>110</v>
      </c>
      <c r="H21" s="298" t="s">
        <v>111</v>
      </c>
      <c r="I21" s="298" t="s">
        <v>111</v>
      </c>
      <c r="J21" s="216"/>
      <c r="K21" s="216"/>
      <c r="L21" s="226"/>
      <c r="M21" s="238"/>
      <c r="N21" s="339" t="s">
        <v>112</v>
      </c>
      <c r="O21" s="238"/>
      <c r="P21" s="446"/>
      <c r="Q21" s="443" t="s">
        <v>113</v>
      </c>
      <c r="R21" s="216" t="s">
        <v>114</v>
      </c>
      <c r="S21" s="533" t="s">
        <v>166</v>
      </c>
      <c r="T21" s="167"/>
      <c r="U21" s="21"/>
      <c r="V21" s="21"/>
      <c r="W21" s="21"/>
      <c r="X21" s="21"/>
      <c r="Y21" s="21"/>
      <c r="Z21" s="21"/>
      <c r="AA21" s="21"/>
      <c r="AB21" s="21"/>
      <c r="AC21" s="21"/>
      <c r="AE21" s="1"/>
      <c r="AF21" s="1"/>
      <c r="AG21" s="1"/>
      <c r="AH21" s="1"/>
    </row>
    <row r="22" spans="1:47" s="22" customFormat="1" ht="24" customHeight="1" thickBot="1" x14ac:dyDescent="0.25">
      <c r="A22" s="175"/>
      <c r="B22" s="487" t="s">
        <v>115</v>
      </c>
      <c r="C22" s="488"/>
      <c r="D22" s="435"/>
      <c r="E22" s="432"/>
      <c r="F22" s="441"/>
      <c r="G22" s="441">
        <v>750</v>
      </c>
      <c r="H22" s="432"/>
      <c r="I22" s="432"/>
      <c r="J22" s="432"/>
      <c r="K22" s="432"/>
      <c r="L22" s="432"/>
      <c r="M22" s="432">
        <v>5000</v>
      </c>
      <c r="N22" s="432"/>
      <c r="O22" s="432">
        <v>10000</v>
      </c>
      <c r="P22" s="216"/>
      <c r="Q22" s="233"/>
      <c r="R22" s="244"/>
      <c r="S22" s="322"/>
      <c r="T22" s="167"/>
      <c r="U22" s="21"/>
      <c r="AE22" s="1"/>
      <c r="AF22" s="1"/>
      <c r="AG22" s="1"/>
      <c r="AH22" s="1"/>
    </row>
    <row r="23" spans="1:47" ht="18.75" customHeight="1" thickTop="1" thickBot="1" x14ac:dyDescent="0.25">
      <c r="A23" s="21"/>
      <c r="B23" s="517" t="s">
        <v>116</v>
      </c>
      <c r="C23" s="518"/>
      <c r="D23" s="436"/>
      <c r="E23" s="299" t="s">
        <v>53</v>
      </c>
      <c r="F23" s="219" t="s">
        <v>53</v>
      </c>
      <c r="G23" s="219" t="s">
        <v>53</v>
      </c>
      <c r="H23" s="219" t="s">
        <v>53</v>
      </c>
      <c r="I23" s="219" t="s">
        <v>53</v>
      </c>
      <c r="J23" s="219" t="s">
        <v>41</v>
      </c>
      <c r="K23" s="219" t="s">
        <v>41</v>
      </c>
      <c r="L23" s="243" t="s">
        <v>53</v>
      </c>
      <c r="M23" s="239" t="s">
        <v>41</v>
      </c>
      <c r="N23" s="340" t="s">
        <v>53</v>
      </c>
      <c r="O23" s="239" t="s">
        <v>41</v>
      </c>
      <c r="P23" s="219" t="s">
        <v>53</v>
      </c>
      <c r="Q23" s="219" t="s">
        <v>41</v>
      </c>
      <c r="R23" s="228" t="s">
        <v>41</v>
      </c>
      <c r="S23" s="154" t="s">
        <v>41</v>
      </c>
      <c r="T23" s="155"/>
      <c r="U23" s="21"/>
      <c r="V23" s="22"/>
      <c r="Z23" s="22"/>
      <c r="AA23" s="22"/>
      <c r="AB23" s="22"/>
      <c r="AC23" s="22"/>
      <c r="AD23" s="22"/>
      <c r="AE23" s="1"/>
      <c r="AF23" s="1"/>
      <c r="AG23" s="22"/>
      <c r="AH23" s="22"/>
      <c r="AI23" s="22"/>
      <c r="AJ23" s="22"/>
      <c r="AK23" s="22"/>
      <c r="AL23" s="22"/>
      <c r="AM23" s="22"/>
      <c r="AN23" s="22"/>
      <c r="AO23" s="22"/>
      <c r="AP23" s="22"/>
      <c r="AQ23" s="22"/>
      <c r="AR23" s="22"/>
      <c r="AS23" s="22"/>
      <c r="AT23" s="22"/>
      <c r="AU23" s="22"/>
    </row>
    <row r="24" spans="1:47" s="22" customFormat="1" ht="9.75" customHeight="1" thickBot="1" x14ac:dyDescent="0.25">
      <c r="A24" s="21"/>
      <c r="B24" s="200" t="str">
        <f ca="1">IF(B1&lt;TODAY()-14,"Quizás haya una versión más actualizada del excel","")</f>
        <v/>
      </c>
      <c r="C24" s="201"/>
      <c r="D24" s="202"/>
      <c r="E24" s="251"/>
      <c r="F24" s="202"/>
      <c r="G24" s="202"/>
      <c r="H24" s="202"/>
      <c r="I24" s="202"/>
      <c r="J24" s="202"/>
      <c r="K24" s="202"/>
      <c r="L24" s="202"/>
      <c r="M24" s="202"/>
      <c r="N24" s="202"/>
      <c r="O24" s="202"/>
      <c r="P24" s="202"/>
      <c r="Q24" s="202"/>
      <c r="R24" s="202"/>
      <c r="S24" s="203"/>
      <c r="T24" s="204"/>
      <c r="U24" s="21"/>
      <c r="AE24" s="1"/>
    </row>
    <row r="25" spans="1:47" ht="62.25" customHeight="1" x14ac:dyDescent="0.2">
      <c r="A25" s="473" t="s">
        <v>117</v>
      </c>
      <c r="B25" s="176" t="s">
        <v>118</v>
      </c>
      <c r="C25" s="136" t="s">
        <v>119</v>
      </c>
      <c r="D25" s="137" t="str">
        <f t="shared" ref="D25:T25" si="10">CONCATENATE(D2," ",D3)</f>
        <v>PERSONALIZADA Tarifas contratadas hace tiempo o que no estén</v>
      </c>
      <c r="E25" s="429" t="str">
        <f t="shared" si="10"/>
        <v>OCTOPUS SUN CLUB</v>
      </c>
      <c r="F25" s="366" t="str">
        <f t="shared" ref="F25:G25" si="11">CONCATENATE(F2," ",F3)</f>
        <v>ESLUZ SOLAR FIJA 2.0</v>
      </c>
      <c r="G25" s="366" t="str">
        <f t="shared" si="11"/>
        <v>NUFRI Flex</v>
      </c>
      <c r="H25" s="366" t="str">
        <f>CONCATENATE(H2," ",H3)</f>
        <v>IMAGINA Tarifa base. Sin horas</v>
      </c>
      <c r="I25" s="366" t="str">
        <f>CONCATENATE(I2," ",I3)</f>
        <v>IMAGINA Tarifa base. Noches y findes</v>
      </c>
      <c r="J25" s="137" t="str">
        <f t="shared" si="10"/>
        <v xml:space="preserve">Doméstica-Visalia Luz Fijo 24h </v>
      </c>
      <c r="K25" s="137" t="str">
        <f t="shared" ref="K25" si="12">CONCATENATE(K2," ",K3)</f>
        <v>Doméstica-Visalia Luz 3 periodos</v>
      </c>
      <c r="L25" s="137" t="str">
        <f t="shared" si="10"/>
        <v>REPSOL Ahorro Plus</v>
      </c>
      <c r="M25" s="138" t="str">
        <f t="shared" ref="M25" si="13">CONCATENATE(M2," ",M3)</f>
        <v>Enérgya VM Formula Fija 3p</v>
      </c>
      <c r="N25" s="137" t="str">
        <f t="shared" si="10"/>
        <v>Iberdrola Plan Online 3 periodos</v>
      </c>
      <c r="O25" s="137" t="str">
        <f t="shared" si="10"/>
        <v>Naturgy Noche</v>
      </c>
      <c r="P25" s="137" t="str">
        <f t="shared" si="10"/>
        <v>Endesa Conecta 3 periodos</v>
      </c>
      <c r="Q25" s="137" t="str">
        <f t="shared" si="10"/>
        <v>Total Energies A tu aire Ahorro</v>
      </c>
      <c r="R25" s="250" t="str">
        <f t="shared" ref="R25" si="14">CONCATENATE(R2," ",R3)</f>
        <v>CHC energía PLAN VEHICULO ELECTRICO</v>
      </c>
      <c r="S25" s="137" t="str">
        <f t="shared" si="10"/>
        <v>COMERCIALIZADORAS DE REFERENCIA PVPC-REGULADO (semiindexada horaria)</v>
      </c>
      <c r="T25" s="138" t="str">
        <f t="shared" si="10"/>
        <v>Comercializadora --&gt; Precios sin impuestos - Tarifas</v>
      </c>
      <c r="U25" s="12"/>
      <c r="V25" s="22"/>
      <c r="Z25" s="22"/>
      <c r="AA25" s="22"/>
      <c r="AB25" s="22"/>
      <c r="AC25" s="22"/>
      <c r="AD25" s="1"/>
      <c r="AE25" s="1"/>
      <c r="AF25" s="22"/>
      <c r="AG25" s="22"/>
      <c r="AH25" s="22"/>
      <c r="AI25" s="22"/>
      <c r="AJ25" s="22"/>
      <c r="AK25" s="22"/>
      <c r="AL25" s="22"/>
      <c r="AM25" s="22"/>
      <c r="AN25" s="22"/>
      <c r="AO25" s="22"/>
      <c r="AP25" s="22"/>
      <c r="AQ25" s="22"/>
      <c r="AR25" s="22"/>
      <c r="AS25" s="22"/>
      <c r="AT25" s="22"/>
      <c r="AU25" s="22"/>
    </row>
    <row r="26" spans="1:47" ht="12.75" x14ac:dyDescent="0.2">
      <c r="A26" s="474"/>
      <c r="B26" s="177" t="s">
        <v>35</v>
      </c>
      <c r="C26" s="139">
        <v>30</v>
      </c>
      <c r="D26" s="271"/>
      <c r="E26" s="428"/>
      <c r="F26" s="367"/>
      <c r="G26" s="367"/>
      <c r="H26" s="367"/>
      <c r="I26" s="367"/>
      <c r="J26" s="65"/>
      <c r="K26" s="65"/>
      <c r="L26" s="65"/>
      <c r="M26" s="66"/>
      <c r="N26" s="67"/>
      <c r="O26" s="67"/>
      <c r="P26" s="67"/>
      <c r="Q26" s="67"/>
      <c r="R26" s="313"/>
      <c r="S26" s="315"/>
      <c r="T26" s="68"/>
      <c r="U26" s="12"/>
      <c r="V26" s="22"/>
      <c r="Z26" s="22"/>
      <c r="AA26" s="22"/>
      <c r="AB26" s="22"/>
      <c r="AC26" s="22"/>
      <c r="AD26" s="1"/>
      <c r="AE26" s="1"/>
      <c r="AF26" s="22"/>
      <c r="AG26" s="22"/>
      <c r="AH26" s="22"/>
      <c r="AI26" s="22"/>
      <c r="AJ26" s="22"/>
      <c r="AK26" s="22"/>
      <c r="AL26" s="22"/>
      <c r="AM26" s="22"/>
      <c r="AN26" s="22"/>
      <c r="AO26" s="22"/>
      <c r="AP26" s="22"/>
      <c r="AQ26" s="22"/>
      <c r="AR26" s="22"/>
      <c r="AS26" s="22"/>
      <c r="AT26" s="22"/>
      <c r="AU26" s="22"/>
    </row>
    <row r="27" spans="1:47" ht="12.75" x14ac:dyDescent="0.2">
      <c r="A27" s="474"/>
      <c r="B27" s="178" t="s">
        <v>120</v>
      </c>
      <c r="C27" s="140">
        <v>3.5</v>
      </c>
      <c r="D27" s="69">
        <f t="shared" ref="D27:S27" si="15">D8*PPdia*diasfct</f>
        <v>0</v>
      </c>
      <c r="E27" s="252">
        <f t="shared" si="15"/>
        <v>10.185</v>
      </c>
      <c r="F27" s="300">
        <f t="shared" ref="F27:G27" si="16">F8*PPdia*diasfct</f>
        <v>8.4559649999999991</v>
      </c>
      <c r="G27" s="300">
        <f t="shared" si="16"/>
        <v>9.9259650000000015</v>
      </c>
      <c r="H27" s="300">
        <f>H8*PPdia*diasfct</f>
        <v>11.025</v>
      </c>
      <c r="I27" s="300">
        <f>I8*PPdia*diasfct</f>
        <v>10.693199999999999</v>
      </c>
      <c r="J27" s="69">
        <f t="shared" si="15"/>
        <v>6.3287700000000005</v>
      </c>
      <c r="K27" s="69">
        <f t="shared" ref="K27" si="17">K8*PPdia*diasfct</f>
        <v>7.9698149999999988</v>
      </c>
      <c r="L27" s="69">
        <f t="shared" si="15"/>
        <v>8.6013900000000003</v>
      </c>
      <c r="M27" s="70">
        <f t="shared" ref="M27" si="18">M8*PPdia*diasfct</f>
        <v>8.6301369863013697</v>
      </c>
      <c r="N27" s="71">
        <f t="shared" si="15"/>
        <v>9.5627700000000004</v>
      </c>
      <c r="O27" s="71">
        <f t="shared" si="15"/>
        <v>12.918150000000001</v>
      </c>
      <c r="P27" s="71">
        <f t="shared" si="15"/>
        <v>7.7326027397260262</v>
      </c>
      <c r="Q27" s="71">
        <f t="shared" si="15"/>
        <v>7.6203749999999992</v>
      </c>
      <c r="R27" s="74">
        <f t="shared" ref="R27" si="19">R8*PPdia*diasfct</f>
        <v>9.2773800000000008</v>
      </c>
      <c r="S27" s="72">
        <f t="shared" si="15"/>
        <v>8.8652831917808221</v>
      </c>
      <c r="T27" s="73" t="s">
        <v>121</v>
      </c>
      <c r="U27" s="12"/>
      <c r="V27" s="22"/>
      <c r="Z27" s="22"/>
      <c r="AA27" s="22"/>
      <c r="AB27" s="22"/>
      <c r="AC27" s="22"/>
      <c r="AD27" s="1"/>
      <c r="AE27" s="1"/>
      <c r="AF27" s="22"/>
      <c r="AG27" s="22"/>
      <c r="AH27" s="22"/>
      <c r="AI27" s="22"/>
      <c r="AJ27" s="22"/>
      <c r="AK27" s="22"/>
      <c r="AL27" s="22"/>
      <c r="AM27" s="22"/>
      <c r="AN27" s="22"/>
      <c r="AO27" s="22"/>
      <c r="AP27" s="22"/>
      <c r="AQ27" s="22"/>
      <c r="AR27" s="22"/>
      <c r="AS27" s="22"/>
      <c r="AT27" s="22"/>
      <c r="AU27" s="22"/>
    </row>
    <row r="28" spans="1:47" ht="12.75" x14ac:dyDescent="0.2">
      <c r="A28" s="474"/>
      <c r="B28" s="178" t="s">
        <v>122</v>
      </c>
      <c r="C28" s="141">
        <v>3.5</v>
      </c>
      <c r="D28" s="69">
        <f t="shared" ref="D28:Q28" si="20">IF(PVdia=0,D9*PPdia*diasfct,D9*PVdia*diasfct)</f>
        <v>0</v>
      </c>
      <c r="E28" s="252">
        <f t="shared" si="20"/>
        <v>2.835</v>
      </c>
      <c r="F28" s="300">
        <f t="shared" ref="F28:G28" si="21">IF(PVdia=0,F9*PPdia*diasfct,F9*PVdia*diasfct)</f>
        <v>0.77773500000000007</v>
      </c>
      <c r="G28" s="300">
        <f t="shared" si="21"/>
        <v>4.8689550000000006</v>
      </c>
      <c r="H28" s="300">
        <f>IF(PVdia=0,H9*PPdia*diasfct,H9*PVdia*diasfct)</f>
        <v>5.04</v>
      </c>
      <c r="I28" s="300">
        <f>IF(PVdia=0,I9*PPdia*diasfct,I9*PVdia*diasfct)</f>
        <v>2.3622900000000002</v>
      </c>
      <c r="J28" s="69">
        <f t="shared" si="20"/>
        <v>6.3287700000000005</v>
      </c>
      <c r="K28" s="69">
        <f t="shared" ref="K28" si="22">IF(PVdia=0,K9*PPdia*diasfct,K9*PVdia*diasfct)</f>
        <v>0.20863500000000001</v>
      </c>
      <c r="L28" s="69">
        <f t="shared" si="20"/>
        <v>8.6013900000000003</v>
      </c>
      <c r="M28" s="70">
        <f t="shared" ref="M28" si="23">IF(PVdia=0,M9*PPdia*diasfct,M9*PVdia*diasfct)</f>
        <v>0.28755616438356163</v>
      </c>
      <c r="N28" s="70">
        <f t="shared" si="20"/>
        <v>1.4157150000000001</v>
      </c>
      <c r="O28" s="70">
        <f t="shared" si="20"/>
        <v>3.920385</v>
      </c>
      <c r="P28" s="70">
        <f t="shared" si="20"/>
        <v>7.7326027397260262</v>
      </c>
      <c r="Q28" s="70">
        <f t="shared" si="20"/>
        <v>7.6203749999999992</v>
      </c>
      <c r="R28" s="74">
        <f t="shared" ref="R28" si="24">IF(PVdia=0,R9*PPdia*diasfct,R9*PVdia*diasfct)</f>
        <v>9.2773800000000008</v>
      </c>
      <c r="S28" s="72">
        <f>S9*PVdia*diasfct</f>
        <v>0.20868332876712328</v>
      </c>
      <c r="T28" s="73" t="s">
        <v>122</v>
      </c>
      <c r="U28" s="12"/>
      <c r="V28" s="22"/>
      <c r="Z28" s="22"/>
      <c r="AA28" s="22"/>
      <c r="AB28" s="22"/>
      <c r="AC28" s="22"/>
      <c r="AD28" s="1"/>
      <c r="AE28" s="1"/>
      <c r="AF28" s="22"/>
      <c r="AG28" s="22"/>
      <c r="AH28" s="22"/>
      <c r="AI28" s="22"/>
      <c r="AJ28" s="22"/>
      <c r="AK28" s="22"/>
      <c r="AL28" s="22"/>
      <c r="AM28" s="22"/>
      <c r="AN28" s="22"/>
      <c r="AO28" s="22"/>
      <c r="AP28" s="22"/>
      <c r="AQ28" s="22"/>
      <c r="AR28" s="22"/>
      <c r="AS28" s="22"/>
      <c r="AT28" s="22"/>
      <c r="AU28" s="22"/>
    </row>
    <row r="29" spans="1:47" ht="12.75" x14ac:dyDescent="0.2">
      <c r="A29" s="474"/>
      <c r="B29" s="179" t="s">
        <v>123</v>
      </c>
      <c r="C29" s="121"/>
      <c r="D29" s="69"/>
      <c r="E29" s="252"/>
      <c r="F29" s="300"/>
      <c r="G29" s="300"/>
      <c r="H29" s="300"/>
      <c r="I29" s="300"/>
      <c r="J29" s="74"/>
      <c r="K29" s="74"/>
      <c r="L29" s="74"/>
      <c r="M29" s="70"/>
      <c r="N29" s="70"/>
      <c r="O29" s="70"/>
      <c r="P29" s="70"/>
      <c r="Q29" s="70"/>
      <c r="R29" s="74"/>
      <c r="S29" s="72"/>
      <c r="T29" s="73"/>
      <c r="U29" s="12"/>
      <c r="V29" s="22"/>
      <c r="Z29" s="22"/>
      <c r="AA29" s="22"/>
      <c r="AB29" s="22"/>
      <c r="AC29" s="22"/>
      <c r="AD29" s="1"/>
      <c r="AE29" s="1"/>
      <c r="AF29" s="22"/>
      <c r="AG29" s="22"/>
      <c r="AH29" s="22"/>
      <c r="AI29" s="22"/>
      <c r="AJ29" s="22"/>
      <c r="AK29" s="22"/>
      <c r="AL29" s="22"/>
      <c r="AM29" s="22"/>
      <c r="AN29" s="22"/>
      <c r="AO29" s="22"/>
      <c r="AP29" s="22"/>
      <c r="AQ29" s="22"/>
      <c r="AR29" s="22"/>
      <c r="AS29" s="22"/>
      <c r="AT29" s="22"/>
      <c r="AU29" s="22"/>
    </row>
    <row r="30" spans="1:47" ht="12.75" x14ac:dyDescent="0.2">
      <c r="A30" s="474"/>
      <c r="B30" s="178" t="s">
        <v>124</v>
      </c>
      <c r="C30" s="142">
        <v>50</v>
      </c>
      <c r="D30" s="69">
        <f t="shared" ref="D30:S30" si="25">D13*Epunta</f>
        <v>0</v>
      </c>
      <c r="E30" s="252">
        <f t="shared" si="25"/>
        <v>6</v>
      </c>
      <c r="F30" s="300">
        <f t="shared" ref="F30:G30" si="26">F13*Epunta</f>
        <v>9.351049999999999</v>
      </c>
      <c r="G30" s="300">
        <f t="shared" si="26"/>
        <v>9.592649999999999</v>
      </c>
      <c r="H30" s="300">
        <f>H13*Epunta</f>
        <v>5.25</v>
      </c>
      <c r="I30" s="300">
        <f>I13*Epunta</f>
        <v>8.8845499999999991</v>
      </c>
      <c r="J30" s="69">
        <f t="shared" si="25"/>
        <v>4.8999500000000005</v>
      </c>
      <c r="K30" s="69">
        <f t="shared" ref="K30" si="27">K13*Epunta</f>
        <v>9.7911000000000001</v>
      </c>
      <c r="L30" s="69">
        <f t="shared" si="25"/>
        <v>5.9950000000000001</v>
      </c>
      <c r="M30" s="70">
        <f t="shared" ref="M30" si="28">M13*Epunta</f>
        <v>8.3250000000000011</v>
      </c>
      <c r="N30" s="70">
        <f t="shared" si="25"/>
        <v>9.7000000000000011</v>
      </c>
      <c r="O30" s="70">
        <f t="shared" si="25"/>
        <v>9.01</v>
      </c>
      <c r="P30" s="70">
        <f t="shared" si="25"/>
        <v>8.2799999999999994</v>
      </c>
      <c r="Q30" s="70">
        <f t="shared" si="25"/>
        <v>8.6785999999999994</v>
      </c>
      <c r="R30" s="74">
        <f t="shared" ref="R30" si="29">R13*Epunta</f>
        <v>10.95</v>
      </c>
      <c r="S30" s="72">
        <f t="shared" si="25"/>
        <v>9.5849999999999991</v>
      </c>
      <c r="T30" s="73" t="s">
        <v>125</v>
      </c>
      <c r="U30" s="12"/>
      <c r="V30" s="22"/>
      <c r="Z30" s="22"/>
      <c r="AA30" s="22"/>
      <c r="AB30" s="22"/>
      <c r="AC30" s="22"/>
      <c r="AD30" s="1"/>
      <c r="AE30" s="1"/>
      <c r="AF30" s="115"/>
      <c r="AG30" s="22"/>
      <c r="AH30" s="22"/>
      <c r="AI30" s="22"/>
      <c r="AJ30" s="22"/>
      <c r="AK30" s="22"/>
      <c r="AL30" s="22"/>
      <c r="AM30" s="22"/>
      <c r="AN30" s="22"/>
      <c r="AO30" s="22"/>
      <c r="AP30" s="22"/>
      <c r="AQ30" s="22"/>
      <c r="AR30" s="22"/>
      <c r="AS30" s="22"/>
      <c r="AT30" s="22"/>
      <c r="AU30" s="22"/>
    </row>
    <row r="31" spans="1:47" ht="12.75" x14ac:dyDescent="0.2">
      <c r="A31" s="474"/>
      <c r="B31" s="178" t="s">
        <v>126</v>
      </c>
      <c r="C31" s="143">
        <v>50</v>
      </c>
      <c r="D31" s="72">
        <f t="shared" ref="D31:S31" si="30">D14*Ellano</f>
        <v>0</v>
      </c>
      <c r="E31" s="252">
        <f t="shared" si="30"/>
        <v>6</v>
      </c>
      <c r="F31" s="300">
        <f t="shared" ref="F31:G31" si="31">F14*Ellano</f>
        <v>6.7532999999999994</v>
      </c>
      <c r="G31" s="300">
        <f t="shared" si="31"/>
        <v>5.7644000000000002</v>
      </c>
      <c r="H31" s="300">
        <f>H14*Ellano</f>
        <v>5.25</v>
      </c>
      <c r="I31" s="300">
        <f>I14*Ellano</f>
        <v>5.1935000000000002</v>
      </c>
      <c r="J31" s="69">
        <f t="shared" si="30"/>
        <v>4.8999500000000005</v>
      </c>
      <c r="K31" s="69">
        <f t="shared" ref="K31" si="32">K14*Ellano</f>
        <v>5.7097500000000005</v>
      </c>
      <c r="L31" s="69">
        <f t="shared" si="30"/>
        <v>5.9950000000000001</v>
      </c>
      <c r="M31" s="70">
        <f t="shared" ref="M31" si="33">M14*Ellano</f>
        <v>6.5024999999999995</v>
      </c>
      <c r="N31" s="70">
        <f t="shared" si="30"/>
        <v>6.8000000000000007</v>
      </c>
      <c r="O31" s="70">
        <f t="shared" si="30"/>
        <v>5.36</v>
      </c>
      <c r="P31" s="70">
        <f t="shared" si="30"/>
        <v>4.8599999999999994</v>
      </c>
      <c r="Q31" s="70">
        <f t="shared" si="30"/>
        <v>5.1964999999999995</v>
      </c>
      <c r="R31" s="74">
        <f t="shared" ref="R31" si="34">R14*Ellano</f>
        <v>10.95</v>
      </c>
      <c r="S31" s="72">
        <f t="shared" si="30"/>
        <v>6.1349999999999998</v>
      </c>
      <c r="T31" s="73" t="s">
        <v>126</v>
      </c>
      <c r="U31" s="12"/>
      <c r="V31" s="22"/>
      <c r="Z31" s="22"/>
      <c r="AA31" s="22"/>
      <c r="AB31" s="22"/>
      <c r="AC31" s="22"/>
      <c r="AD31" s="1"/>
      <c r="AE31" s="1"/>
      <c r="AF31" s="115"/>
      <c r="AG31" s="22"/>
      <c r="AH31" s="22"/>
      <c r="AI31" s="22"/>
      <c r="AJ31" s="22"/>
      <c r="AK31" s="22"/>
      <c r="AL31" s="22"/>
      <c r="AM31" s="22"/>
      <c r="AN31" s="22"/>
      <c r="AO31" s="22"/>
      <c r="AP31" s="22"/>
      <c r="AQ31" s="22"/>
      <c r="AR31" s="22"/>
      <c r="AS31" s="22"/>
      <c r="AT31" s="22"/>
      <c r="AU31" s="22"/>
    </row>
    <row r="32" spans="1:47" ht="15.75" customHeight="1" x14ac:dyDescent="0.2">
      <c r="A32" s="474"/>
      <c r="B32" s="180" t="s">
        <v>127</v>
      </c>
      <c r="C32" s="144">
        <v>100</v>
      </c>
      <c r="D32" s="75">
        <f t="shared" ref="D32:S32" si="35">D15*Evalle</f>
        <v>0</v>
      </c>
      <c r="E32" s="253">
        <f t="shared" si="35"/>
        <v>12</v>
      </c>
      <c r="F32" s="323">
        <f t="shared" ref="F32:G32" si="36">F15*Evalle</f>
        <v>8.5297999999999998</v>
      </c>
      <c r="G32" s="323">
        <f t="shared" si="36"/>
        <v>8.0718999999999994</v>
      </c>
      <c r="H32" s="323">
        <f>H15*Evalle</f>
        <v>10.5</v>
      </c>
      <c r="I32" s="323">
        <f>I15*Evalle</f>
        <v>6.9472999999999994</v>
      </c>
      <c r="J32" s="76">
        <f t="shared" si="35"/>
        <v>9.7999000000000009</v>
      </c>
      <c r="K32" s="76">
        <f t="shared" ref="K32" si="37">K15*Evalle</f>
        <v>8.6542999999999992</v>
      </c>
      <c r="L32" s="76">
        <f t="shared" si="35"/>
        <v>11.99</v>
      </c>
      <c r="M32" s="77">
        <f t="shared" ref="M32" si="38">M15*Evalle</f>
        <v>10.305</v>
      </c>
      <c r="N32" s="77">
        <f t="shared" si="35"/>
        <v>9.9989999999999988</v>
      </c>
      <c r="O32" s="77">
        <f t="shared" si="35"/>
        <v>7.1800000000000006</v>
      </c>
      <c r="P32" s="77">
        <f t="shared" si="35"/>
        <v>7.3800000000000008</v>
      </c>
      <c r="Q32" s="77">
        <f t="shared" si="35"/>
        <v>7.6175999999999995</v>
      </c>
      <c r="R32" s="314">
        <f t="shared" ref="R32" si="39">R15*Evalle</f>
        <v>5.8999999999999995</v>
      </c>
      <c r="S32" s="78">
        <f t="shared" si="35"/>
        <v>10.469999999999999</v>
      </c>
      <c r="T32" s="73" t="s">
        <v>128</v>
      </c>
      <c r="U32" s="12"/>
      <c r="V32" s="22"/>
      <c r="Z32" s="22"/>
      <c r="AA32" s="22"/>
      <c r="AB32" s="22"/>
      <c r="AC32" s="22"/>
      <c r="AD32" s="1"/>
      <c r="AE32" s="1"/>
      <c r="AF32" s="115"/>
      <c r="AG32" s="22"/>
      <c r="AH32" s="22"/>
      <c r="AI32" s="22"/>
      <c r="AJ32" s="22"/>
      <c r="AK32" s="22"/>
      <c r="AL32" s="22"/>
      <c r="AM32" s="22"/>
      <c r="AN32" s="22"/>
      <c r="AO32" s="22"/>
      <c r="AP32" s="22"/>
      <c r="AQ32" s="22"/>
      <c r="AR32" s="22"/>
      <c r="AS32" s="22"/>
      <c r="AT32" s="22"/>
      <c r="AU32" s="22"/>
    </row>
    <row r="33" spans="1:47" ht="12.75" x14ac:dyDescent="0.2">
      <c r="A33" s="474"/>
      <c r="B33" s="181" t="s">
        <v>129</v>
      </c>
      <c r="C33" s="122">
        <f>SUM(C30:C32)</f>
        <v>200</v>
      </c>
      <c r="D33" s="123" t="str">
        <f>CONCATENATE(ROUND(Epunta/C33*100,0),"-",ROUND(Ellano/C33*100,0),"-",ROUND(Evalle/C33*100,0)," %"," es tu reparto de consumos Punta-Llano-Valle ;   (valora las tarifas con periodos aunque no mires el reloj, la más barata, recuerda). Por defecto en España se aplica 28-26-46% si el contador no registra periodos")</f>
        <v>25-25-50 % es tu reparto de consumos Punta-Llano-Valle ;   (valora las tarifas con periodos aunque no mires el reloj, la más barata, recuerda). Por defecto en España se aplica 28-26-46% si el contador no registra periodos</v>
      </c>
      <c r="E33" s="254"/>
      <c r="F33" s="301"/>
      <c r="G33" s="301"/>
      <c r="H33" s="301"/>
      <c r="I33" s="301"/>
      <c r="J33" s="124"/>
      <c r="K33" s="124"/>
      <c r="L33" s="124"/>
      <c r="M33" s="125"/>
      <c r="N33" s="125"/>
      <c r="O33" s="125"/>
      <c r="P33" s="125"/>
      <c r="Q33" s="125"/>
      <c r="R33" s="124"/>
      <c r="S33" s="126"/>
      <c r="T33" s="127"/>
      <c r="U33" s="38"/>
      <c r="V33" s="22"/>
      <c r="Z33" s="22"/>
      <c r="AA33" s="22"/>
      <c r="AB33" s="22"/>
      <c r="AC33" s="22"/>
      <c r="AD33" s="1"/>
      <c r="AE33" s="1"/>
      <c r="AF33" s="22"/>
      <c r="AG33" s="22"/>
      <c r="AH33" s="22"/>
      <c r="AI33" s="22"/>
      <c r="AJ33" s="22"/>
      <c r="AK33" s="22"/>
      <c r="AL33" s="22"/>
      <c r="AM33" s="22"/>
      <c r="AN33" s="22"/>
      <c r="AO33" s="22"/>
      <c r="AP33" s="22"/>
      <c r="AQ33" s="22"/>
      <c r="AR33" s="22"/>
      <c r="AS33" s="22"/>
      <c r="AT33" s="22"/>
      <c r="AU33" s="22"/>
    </row>
    <row r="34" spans="1:47" ht="15.75" customHeight="1" thickBot="1" x14ac:dyDescent="0.25">
      <c r="A34" s="475"/>
      <c r="B34" s="245" t="s">
        <v>130</v>
      </c>
      <c r="C34" s="171">
        <v>0</v>
      </c>
      <c r="D34" s="272">
        <f t="shared" ref="D34:J34" si="40">$C$34*D16</f>
        <v>0</v>
      </c>
      <c r="E34" s="255">
        <f t="shared" si="40"/>
        <v>0</v>
      </c>
      <c r="F34" s="324">
        <f t="shared" ref="F34:G34" si="41">$C$34*F16</f>
        <v>0</v>
      </c>
      <c r="G34" s="324">
        <f t="shared" si="41"/>
        <v>0</v>
      </c>
      <c r="H34" s="324">
        <f>$C$34*H16</f>
        <v>0</v>
      </c>
      <c r="I34" s="324">
        <f>$C$34*I16</f>
        <v>0</v>
      </c>
      <c r="J34" s="172">
        <f t="shared" si="40"/>
        <v>0</v>
      </c>
      <c r="K34" s="172">
        <f t="shared" ref="K34" si="42">$C$34*K16</f>
        <v>0</v>
      </c>
      <c r="L34" s="172">
        <f t="shared" ref="L34:S34" si="43">$C$34*L16</f>
        <v>0</v>
      </c>
      <c r="M34" s="172">
        <f t="shared" ref="M34" si="44">$C$34*M16</f>
        <v>0</v>
      </c>
      <c r="N34" s="172">
        <f t="shared" si="43"/>
        <v>0</v>
      </c>
      <c r="O34" s="172">
        <f>$C$34*O16</f>
        <v>0</v>
      </c>
      <c r="P34" s="172">
        <f>$C$34*P16</f>
        <v>0</v>
      </c>
      <c r="Q34" s="172">
        <f t="shared" si="43"/>
        <v>0</v>
      </c>
      <c r="R34" s="172">
        <f t="shared" si="43"/>
        <v>0</v>
      </c>
      <c r="S34" s="172">
        <f t="shared" si="43"/>
        <v>0</v>
      </c>
      <c r="T34" s="173"/>
      <c r="U34" s="38"/>
      <c r="V34" s="22"/>
      <c r="Z34" s="22"/>
      <c r="AA34" s="22"/>
      <c r="AB34" s="22"/>
      <c r="AC34" s="22"/>
      <c r="AD34" s="1"/>
      <c r="AE34" s="1"/>
      <c r="AF34" s="22"/>
      <c r="AG34" s="22"/>
      <c r="AH34" s="22"/>
      <c r="AI34" s="22"/>
      <c r="AJ34" s="22"/>
      <c r="AK34" s="22"/>
      <c r="AL34" s="22"/>
      <c r="AM34" s="22"/>
      <c r="AN34" s="22"/>
      <c r="AO34" s="22"/>
      <c r="AP34" s="22"/>
      <c r="AQ34" s="22"/>
      <c r="AR34" s="22"/>
      <c r="AS34" s="22"/>
      <c r="AT34" s="22"/>
      <c r="AU34" s="22"/>
    </row>
    <row r="35" spans="1:47" ht="8.25" customHeight="1" x14ac:dyDescent="0.2">
      <c r="A35" s="475"/>
      <c r="B35" s="463" t="s">
        <v>131</v>
      </c>
      <c r="C35" s="469"/>
      <c r="D35" s="273">
        <f t="shared" ref="D35:S35" si="45">SUM(D30,D31,D32)</f>
        <v>0</v>
      </c>
      <c r="E35" s="256">
        <f t="shared" si="45"/>
        <v>24</v>
      </c>
      <c r="F35" s="80">
        <f t="shared" ref="F35:G35" si="46">SUM(F30,F31,F32)</f>
        <v>24.634149999999998</v>
      </c>
      <c r="G35" s="80">
        <f t="shared" si="46"/>
        <v>23.42895</v>
      </c>
      <c r="H35" s="80">
        <f>SUM(H30,H31,H32)</f>
        <v>21</v>
      </c>
      <c r="I35" s="80">
        <f>SUM(I30,I31,I32)</f>
        <v>21.02535</v>
      </c>
      <c r="J35" s="79">
        <f t="shared" si="45"/>
        <v>19.599800000000002</v>
      </c>
      <c r="K35" s="79">
        <f t="shared" ref="K35" si="47">SUM(K30,K31,K32)</f>
        <v>24.155149999999999</v>
      </c>
      <c r="L35" s="79">
        <f t="shared" si="45"/>
        <v>23.98</v>
      </c>
      <c r="M35" s="81">
        <f t="shared" ref="M35" si="48">SUM(M30,M31,M32)</f>
        <v>25.1325</v>
      </c>
      <c r="N35" s="81">
        <f t="shared" si="45"/>
        <v>26.498999999999999</v>
      </c>
      <c r="O35" s="81">
        <f t="shared" si="45"/>
        <v>21.55</v>
      </c>
      <c r="P35" s="81">
        <f t="shared" si="45"/>
        <v>20.52</v>
      </c>
      <c r="Q35" s="81">
        <f t="shared" si="45"/>
        <v>21.492699999999999</v>
      </c>
      <c r="R35" s="79">
        <f t="shared" ref="R35" si="49">SUM(R30,R31,R32)</f>
        <v>27.799999999999997</v>
      </c>
      <c r="S35" s="81">
        <f t="shared" si="45"/>
        <v>26.189999999999998</v>
      </c>
      <c r="T35" s="82" t="str">
        <f t="shared" ref="T35:T42" si="50">B35</f>
        <v xml:space="preserve">n   </v>
      </c>
      <c r="U35" s="12"/>
      <c r="V35" s="22"/>
      <c r="Z35" s="22"/>
      <c r="AA35" s="22"/>
      <c r="AB35" s="22"/>
      <c r="AC35" s="22"/>
      <c r="AD35" s="1"/>
      <c r="AE35" s="1"/>
      <c r="AF35" s="22"/>
      <c r="AG35" s="22"/>
      <c r="AH35" s="22"/>
      <c r="AI35" s="22"/>
      <c r="AJ35" s="22"/>
      <c r="AK35" s="22"/>
      <c r="AL35" s="22"/>
      <c r="AM35" s="22"/>
      <c r="AN35" s="22"/>
      <c r="AO35" s="22"/>
      <c r="AP35" s="22"/>
      <c r="AQ35" s="22"/>
      <c r="AR35" s="22"/>
      <c r="AS35" s="22"/>
      <c r="AT35" s="22"/>
      <c r="AU35" s="22"/>
    </row>
    <row r="36" spans="1:47" ht="6" customHeight="1" x14ac:dyDescent="0.2">
      <c r="A36" s="475"/>
      <c r="B36" s="463" t="s">
        <v>132</v>
      </c>
      <c r="C36" s="469"/>
      <c r="D36" s="274">
        <f>Epunta*$Y$7+Ellano*$Y$8+Evalle*$Y$9</f>
        <v>6.6702000000000004</v>
      </c>
      <c r="E36" s="256">
        <f>Epunta*$Y$7+Ellano*$Y$8+Evalle*$Y$9</f>
        <v>6.6702000000000004</v>
      </c>
      <c r="F36" s="80">
        <f>Epunta*$Y$7+Ellano*$Y$8+Evalle*$Y$9</f>
        <v>6.6702000000000004</v>
      </c>
      <c r="G36" s="80">
        <f>Epunta*$Y$7+Ellano*$Y$8+Evalle*$Y$9</f>
        <v>6.6702000000000004</v>
      </c>
      <c r="H36" s="80">
        <f>Epunta*$Y$7+Ellano*$Y$8+Evalle*$Y$9</f>
        <v>6.6702000000000004</v>
      </c>
      <c r="I36" s="80">
        <f>Epunta*$Y$7+Ellano*$Y$8+Evalle*$Y$9</f>
        <v>6.6702000000000004</v>
      </c>
      <c r="J36" s="80">
        <f>Epunta*$Y$7+Ellano*$Y$8+Evalle*$Y$9</f>
        <v>6.6702000000000004</v>
      </c>
      <c r="K36" s="80">
        <f>Epunta*$Y$7+Ellano*$Y$8+Evalle*$Y$9</f>
        <v>6.6702000000000004</v>
      </c>
      <c r="L36" s="80">
        <f>Epunta*$Y$7+Ellano*$Y$8+Evalle*$Y$9</f>
        <v>6.6702000000000004</v>
      </c>
      <c r="M36" s="81">
        <f>Epunta*$Y$7+Ellano*$Y$8+Evalle*$Y$9</f>
        <v>6.6702000000000004</v>
      </c>
      <c r="N36" s="81">
        <f>Epunta*$Y$7+Ellano*$Y$8+Evalle*$Y$9</f>
        <v>6.6702000000000004</v>
      </c>
      <c r="O36" s="81">
        <f>Epunta*$Y$7+Ellano*$Y$8+Evalle*$Y$9</f>
        <v>6.6702000000000004</v>
      </c>
      <c r="P36" s="81">
        <f>Epunta*$Y$7+Ellano*$Y$8+Evalle*$Y$9</f>
        <v>6.6702000000000004</v>
      </c>
      <c r="Q36" s="81">
        <f>Epunta*$Y$7+Ellano*$Y$8+Evalle*$Y$9</f>
        <v>6.6702000000000004</v>
      </c>
      <c r="R36" s="80">
        <f>Epunta*$Y$7+Ellano*$Y$8+Evalle*$Y$9</f>
        <v>6.6702000000000004</v>
      </c>
      <c r="S36" s="81">
        <f>Epunta*$Y$7+Ellano*$Y$8+Evalle*$Y$9</f>
        <v>6.6702000000000004</v>
      </c>
      <c r="T36" s="82" t="str">
        <f t="shared" si="50"/>
        <v>Peajes de la energía</v>
      </c>
      <c r="U36" s="12"/>
      <c r="V36" s="22"/>
      <c r="Z36" s="22"/>
      <c r="AA36" s="22"/>
      <c r="AB36" s="22"/>
      <c r="AC36" s="22"/>
      <c r="AD36" s="1"/>
      <c r="AE36" s="1"/>
      <c r="AF36" s="22"/>
      <c r="AG36" s="22"/>
      <c r="AH36" s="22"/>
      <c r="AI36" s="22"/>
      <c r="AJ36" s="22"/>
      <c r="AK36" s="22"/>
      <c r="AL36" s="22"/>
      <c r="AM36" s="22"/>
      <c r="AN36" s="22"/>
      <c r="AO36" s="22"/>
      <c r="AP36" s="22"/>
      <c r="AQ36" s="22"/>
      <c r="AR36" s="22"/>
      <c r="AS36" s="22"/>
      <c r="AT36" s="22"/>
      <c r="AU36" s="22"/>
    </row>
    <row r="37" spans="1:47" ht="6" customHeight="1" x14ac:dyDescent="0.2">
      <c r="A37" s="475"/>
      <c r="B37" s="463" t="s">
        <v>133</v>
      </c>
      <c r="C37" s="464"/>
      <c r="D37" s="274">
        <f>MAX(D35-D36,0)</f>
        <v>0</v>
      </c>
      <c r="E37" s="256">
        <f t="shared" ref="E37:S37" si="51">E35-E36</f>
        <v>17.329799999999999</v>
      </c>
      <c r="F37" s="80">
        <f t="shared" ref="F37:G37" si="52">F35-F36</f>
        <v>17.963949999999997</v>
      </c>
      <c r="G37" s="80">
        <f t="shared" si="52"/>
        <v>16.758749999999999</v>
      </c>
      <c r="H37" s="80">
        <f>H35-H36</f>
        <v>14.329799999999999</v>
      </c>
      <c r="I37" s="80">
        <f>I35-I36</f>
        <v>14.355149999999998</v>
      </c>
      <c r="J37" s="80">
        <f t="shared" si="51"/>
        <v>12.929600000000001</v>
      </c>
      <c r="K37" s="80">
        <f t="shared" ref="K37" si="53">K35-K36</f>
        <v>17.484949999999998</v>
      </c>
      <c r="L37" s="80">
        <f t="shared" si="51"/>
        <v>17.309799999999999</v>
      </c>
      <c r="M37" s="81">
        <f t="shared" ref="M37" si="54">M35-M36</f>
        <v>18.462299999999999</v>
      </c>
      <c r="N37" s="81">
        <f t="shared" si="51"/>
        <v>19.828799999999998</v>
      </c>
      <c r="O37" s="81">
        <f t="shared" si="51"/>
        <v>14.879799999999999</v>
      </c>
      <c r="P37" s="81">
        <f t="shared" si="51"/>
        <v>13.849799999999998</v>
      </c>
      <c r="Q37" s="81">
        <f t="shared" si="51"/>
        <v>14.822499999999998</v>
      </c>
      <c r="R37" s="80">
        <f t="shared" ref="R37" si="55">R35-R36</f>
        <v>21.129799999999996</v>
      </c>
      <c r="S37" s="81">
        <f t="shared" si="51"/>
        <v>19.519799999999996</v>
      </c>
      <c r="T37" s="82" t="str">
        <f t="shared" si="50"/>
        <v>energía compensable(energía-peajes)</v>
      </c>
      <c r="U37" s="12"/>
      <c r="V37" s="22"/>
      <c r="Z37" s="22"/>
      <c r="AA37" s="22"/>
      <c r="AB37" s="22"/>
      <c r="AC37" s="22"/>
      <c r="AD37" s="1"/>
      <c r="AE37" s="1"/>
      <c r="AF37" s="22"/>
      <c r="AG37" s="22"/>
      <c r="AH37" s="22"/>
      <c r="AI37" s="22"/>
      <c r="AJ37" s="22"/>
      <c r="AK37" s="22"/>
      <c r="AL37" s="22"/>
      <c r="AM37" s="22"/>
      <c r="AN37" s="22"/>
      <c r="AO37" s="22"/>
      <c r="AP37" s="22"/>
      <c r="AQ37" s="22"/>
      <c r="AR37" s="22"/>
      <c r="AS37" s="22"/>
      <c r="AT37" s="22"/>
      <c r="AU37" s="22"/>
    </row>
    <row r="38" spans="1:47" ht="6" customHeight="1" x14ac:dyDescent="0.2">
      <c r="A38" s="475"/>
      <c r="B38" s="463" t="s">
        <v>134</v>
      </c>
      <c r="C38" s="464"/>
      <c r="D38" s="274">
        <f t="shared" ref="D38:S38" si="56">D37-D34</f>
        <v>0</v>
      </c>
      <c r="E38" s="256">
        <f t="shared" si="56"/>
        <v>17.329799999999999</v>
      </c>
      <c r="F38" s="80">
        <f t="shared" ref="F38:G38" si="57">F37-F34</f>
        <v>17.963949999999997</v>
      </c>
      <c r="G38" s="80">
        <f t="shared" si="57"/>
        <v>16.758749999999999</v>
      </c>
      <c r="H38" s="80">
        <f>H37-H34</f>
        <v>14.329799999999999</v>
      </c>
      <c r="I38" s="80">
        <f>I37-I34</f>
        <v>14.355149999999998</v>
      </c>
      <c r="J38" s="80">
        <f t="shared" si="56"/>
        <v>12.929600000000001</v>
      </c>
      <c r="K38" s="80">
        <f t="shared" ref="K38" si="58">K37-K34</f>
        <v>17.484949999999998</v>
      </c>
      <c r="L38" s="80">
        <f t="shared" si="56"/>
        <v>17.309799999999999</v>
      </c>
      <c r="M38" s="81">
        <f t="shared" ref="M38" si="59">M37-M34</f>
        <v>18.462299999999999</v>
      </c>
      <c r="N38" s="81">
        <f t="shared" si="56"/>
        <v>19.828799999999998</v>
      </c>
      <c r="O38" s="81">
        <f t="shared" si="56"/>
        <v>14.879799999999999</v>
      </c>
      <c r="P38" s="81">
        <f t="shared" si="56"/>
        <v>13.849799999999998</v>
      </c>
      <c r="Q38" s="81">
        <f t="shared" si="56"/>
        <v>14.822499999999998</v>
      </c>
      <c r="R38" s="80">
        <f t="shared" ref="R38" si="60">R37-R34</f>
        <v>21.129799999999996</v>
      </c>
      <c r="S38" s="81">
        <f t="shared" si="56"/>
        <v>19.519799999999996</v>
      </c>
      <c r="T38" s="82" t="str">
        <f t="shared" si="50"/>
        <v>subtotal energia compensada</v>
      </c>
      <c r="U38" s="12"/>
      <c r="V38" s="22"/>
      <c r="Z38" s="22"/>
      <c r="AA38" s="22"/>
      <c r="AB38" s="22"/>
      <c r="AC38" s="22"/>
      <c r="AD38" s="1"/>
      <c r="AE38" s="1"/>
      <c r="AF38" s="22"/>
      <c r="AG38" s="22"/>
      <c r="AH38" s="22"/>
      <c r="AI38" s="22"/>
      <c r="AJ38" s="22"/>
      <c r="AK38" s="22"/>
      <c r="AL38" s="22"/>
      <c r="AM38" s="22"/>
      <c r="AN38" s="22"/>
      <c r="AO38" s="22"/>
      <c r="AP38" s="22"/>
      <c r="AQ38" s="22"/>
      <c r="AR38" s="22"/>
      <c r="AS38" s="22"/>
      <c r="AT38" s="22"/>
      <c r="AU38" s="22"/>
    </row>
    <row r="39" spans="1:47" ht="6" customHeight="1" x14ac:dyDescent="0.2">
      <c r="A39" s="475"/>
      <c r="B39" s="463" t="s">
        <v>135</v>
      </c>
      <c r="C39" s="464"/>
      <c r="D39" s="274">
        <f t="shared" ref="D39:S39" si="61">+D30+D31+D32</f>
        <v>0</v>
      </c>
      <c r="E39" s="256">
        <f t="shared" si="61"/>
        <v>24</v>
      </c>
      <c r="F39" s="80">
        <f t="shared" ref="F39:G39" si="62">+F30+F31+F32</f>
        <v>24.634149999999998</v>
      </c>
      <c r="G39" s="80">
        <f t="shared" si="62"/>
        <v>23.42895</v>
      </c>
      <c r="H39" s="80">
        <f>+H30+H31+H32</f>
        <v>21</v>
      </c>
      <c r="I39" s="80">
        <f>+I30+I31+I32</f>
        <v>21.02535</v>
      </c>
      <c r="J39" s="80">
        <f t="shared" si="61"/>
        <v>19.599800000000002</v>
      </c>
      <c r="K39" s="80">
        <f t="shared" ref="K39" si="63">+K30+K31+K32</f>
        <v>24.155149999999999</v>
      </c>
      <c r="L39" s="80">
        <f t="shared" si="61"/>
        <v>23.98</v>
      </c>
      <c r="M39" s="81">
        <f t="shared" ref="M39" si="64">+M30+M31+M32</f>
        <v>25.1325</v>
      </c>
      <c r="N39" s="81">
        <f t="shared" si="61"/>
        <v>26.498999999999999</v>
      </c>
      <c r="O39" s="81">
        <f t="shared" si="61"/>
        <v>21.55</v>
      </c>
      <c r="P39" s="81">
        <f t="shared" si="61"/>
        <v>20.52</v>
      </c>
      <c r="Q39" s="81">
        <f t="shared" si="61"/>
        <v>21.492699999999999</v>
      </c>
      <c r="R39" s="80">
        <f t="shared" ref="R39" si="65">+R30+R31+R32</f>
        <v>27.799999999999997</v>
      </c>
      <c r="S39" s="81">
        <f t="shared" si="61"/>
        <v>26.189999999999998</v>
      </c>
      <c r="T39" s="82" t="str">
        <f t="shared" si="50"/>
        <v>subtotal no compensado</v>
      </c>
      <c r="U39" s="12"/>
      <c r="V39" s="22"/>
      <c r="Z39" s="22"/>
      <c r="AA39" s="22"/>
      <c r="AB39" s="22"/>
      <c r="AC39" s="22"/>
      <c r="AD39" s="1"/>
      <c r="AE39" s="1"/>
      <c r="AF39" s="22"/>
      <c r="AG39" s="22"/>
      <c r="AH39" s="22"/>
      <c r="AI39" s="22"/>
      <c r="AJ39" s="22"/>
      <c r="AK39" s="22"/>
      <c r="AL39" s="22"/>
      <c r="AM39" s="22"/>
      <c r="AN39" s="22"/>
      <c r="AO39" s="22"/>
      <c r="AP39" s="22"/>
      <c r="AQ39" s="22"/>
      <c r="AR39" s="22"/>
      <c r="AS39" s="22"/>
      <c r="AT39" s="22"/>
      <c r="AU39" s="22"/>
    </row>
    <row r="40" spans="1:47" ht="0.75" customHeight="1" x14ac:dyDescent="0.2">
      <c r="A40" s="474"/>
      <c r="B40" s="464" t="s">
        <v>136</v>
      </c>
      <c r="C40" s="464"/>
      <c r="D40" s="274">
        <f t="shared" ref="D40:S40" si="66">MAX(D35-$C$34*D16,D36)</f>
        <v>6.6702000000000004</v>
      </c>
      <c r="E40" s="256">
        <f t="shared" si="66"/>
        <v>24</v>
      </c>
      <c r="F40" s="80">
        <f t="shared" ref="F40:G40" si="67">MAX(F35-$C$34*F16,F36)</f>
        <v>24.634149999999998</v>
      </c>
      <c r="G40" s="80">
        <f t="shared" si="67"/>
        <v>23.42895</v>
      </c>
      <c r="H40" s="80">
        <f>MAX(H35-$C$34*H16,H36)</f>
        <v>21</v>
      </c>
      <c r="I40" s="80">
        <f>MAX(I35-$C$34*I16,I36)</f>
        <v>21.02535</v>
      </c>
      <c r="J40" s="80">
        <f t="shared" si="66"/>
        <v>19.599800000000002</v>
      </c>
      <c r="K40" s="80">
        <f t="shared" ref="K40" si="68">MAX(K35-$C$34*K16,K36)</f>
        <v>24.155149999999999</v>
      </c>
      <c r="L40" s="80">
        <f t="shared" si="66"/>
        <v>23.98</v>
      </c>
      <c r="M40" s="81">
        <f t="shared" ref="M40" si="69">MAX(M35-$C$34*M16,M36)</f>
        <v>25.1325</v>
      </c>
      <c r="N40" s="81">
        <f t="shared" si="66"/>
        <v>26.498999999999999</v>
      </c>
      <c r="O40" s="81">
        <f t="shared" si="66"/>
        <v>21.55</v>
      </c>
      <c r="P40" s="81">
        <f t="shared" si="66"/>
        <v>20.52</v>
      </c>
      <c r="Q40" s="81">
        <f t="shared" si="66"/>
        <v>21.492699999999999</v>
      </c>
      <c r="R40" s="80">
        <f t="shared" ref="R40" si="70">MAX(R35-$C$34*R16,R36)</f>
        <v>27.799999999999997</v>
      </c>
      <c r="S40" s="81">
        <f t="shared" si="66"/>
        <v>26.189999999999998</v>
      </c>
      <c r="T40" s="82" t="str">
        <f t="shared" si="50"/>
        <v>subtotal legal</v>
      </c>
      <c r="U40" s="37"/>
      <c r="V40" s="22"/>
      <c r="Z40" s="22"/>
      <c r="AA40" s="22"/>
      <c r="AB40" s="22"/>
      <c r="AC40" s="22"/>
      <c r="AD40" s="1"/>
      <c r="AE40" s="1"/>
      <c r="AF40" s="22"/>
      <c r="AG40" s="22"/>
      <c r="AH40" s="22"/>
      <c r="AI40" s="22"/>
      <c r="AJ40" s="22"/>
      <c r="AK40" s="22"/>
      <c r="AL40" s="22"/>
      <c r="AM40" s="22"/>
      <c r="AN40" s="22"/>
      <c r="AO40" s="22"/>
      <c r="AP40" s="22"/>
      <c r="AQ40" s="22"/>
      <c r="AR40" s="22"/>
      <c r="AS40" s="22"/>
      <c r="AT40" s="22"/>
      <c r="AU40" s="22"/>
    </row>
    <row r="41" spans="1:47" ht="6" hidden="1" customHeight="1" x14ac:dyDescent="0.2">
      <c r="A41" s="474"/>
      <c r="B41" s="464" t="s">
        <v>137</v>
      </c>
      <c r="C41" s="464"/>
      <c r="D41" s="274">
        <f t="shared" ref="D41:S41" si="71">MAX(D35-$C$34*D16,0)</f>
        <v>0</v>
      </c>
      <c r="E41" s="256">
        <f t="shared" si="71"/>
        <v>24</v>
      </c>
      <c r="F41" s="80">
        <f t="shared" ref="F41:G41" si="72">MAX(F35-$C$34*F16,0)</f>
        <v>24.634149999999998</v>
      </c>
      <c r="G41" s="80">
        <f t="shared" si="72"/>
        <v>23.42895</v>
      </c>
      <c r="H41" s="80">
        <f>MAX(H35-$C$34*H16,0)</f>
        <v>21</v>
      </c>
      <c r="I41" s="80">
        <f>MAX(I35-$C$34*I16,0)</f>
        <v>21.02535</v>
      </c>
      <c r="J41" s="80">
        <f t="shared" si="71"/>
        <v>19.599800000000002</v>
      </c>
      <c r="K41" s="80">
        <f t="shared" ref="K41" si="73">MAX(K35-$C$34*K16,0)</f>
        <v>24.155149999999999</v>
      </c>
      <c r="L41" s="80">
        <f t="shared" si="71"/>
        <v>23.98</v>
      </c>
      <c r="M41" s="81">
        <f t="shared" ref="M41" si="74">MAX(M35-$C$34*M16,0)</f>
        <v>25.1325</v>
      </c>
      <c r="N41" s="81">
        <f t="shared" si="71"/>
        <v>26.498999999999999</v>
      </c>
      <c r="O41" s="81">
        <f t="shared" si="71"/>
        <v>21.55</v>
      </c>
      <c r="P41" s="81">
        <f t="shared" si="71"/>
        <v>20.52</v>
      </c>
      <c r="Q41" s="81">
        <f t="shared" si="71"/>
        <v>21.492699999999999</v>
      </c>
      <c r="R41" s="80">
        <f t="shared" ref="R41" si="75">MAX(R35-$C$34*R16,0)</f>
        <v>27.799999999999997</v>
      </c>
      <c r="S41" s="81">
        <f t="shared" si="71"/>
        <v>26.189999999999998</v>
      </c>
      <c r="T41" s="82" t="str">
        <f t="shared" si="50"/>
        <v>sbtotal energía</v>
      </c>
      <c r="U41" s="12"/>
      <c r="V41" s="22"/>
      <c r="Z41" s="22"/>
      <c r="AA41" s="22"/>
      <c r="AB41" s="22"/>
      <c r="AC41" s="22"/>
      <c r="AD41" s="1"/>
      <c r="AE41" s="1"/>
      <c r="AF41" s="22"/>
      <c r="AG41" s="22"/>
      <c r="AH41" s="22"/>
      <c r="AI41" s="22"/>
      <c r="AJ41" s="22"/>
      <c r="AK41" s="22"/>
      <c r="AL41" s="22"/>
      <c r="AM41" s="22"/>
      <c r="AN41" s="22"/>
      <c r="AO41" s="22"/>
      <c r="AP41" s="22"/>
      <c r="AQ41" s="22"/>
      <c r="AR41" s="22"/>
      <c r="AS41" s="22"/>
      <c r="AT41" s="22"/>
      <c r="AU41" s="22"/>
    </row>
    <row r="42" spans="1:47" ht="6" hidden="1" customHeight="1" x14ac:dyDescent="0.2">
      <c r="A42" s="474"/>
      <c r="B42" s="476" t="s">
        <v>138</v>
      </c>
      <c r="C42" s="477"/>
      <c r="D42" s="275">
        <f t="shared" ref="D42:S42" si="76">MAX(-D35+D34+(D17="legal")*D36,0)</f>
        <v>0</v>
      </c>
      <c r="E42" s="257">
        <f t="shared" si="76"/>
        <v>0</v>
      </c>
      <c r="F42" s="83">
        <f t="shared" ref="F42:G42" si="77">MAX(-F35+F34+(F17="legal")*F36,0)</f>
        <v>0</v>
      </c>
      <c r="G42" s="83">
        <f t="shared" si="77"/>
        <v>0</v>
      </c>
      <c r="H42" s="83">
        <f>MAX(-H35+H34+(H17="legal")*H36,0)</f>
        <v>0</v>
      </c>
      <c r="I42" s="83">
        <f>MAX(-I35+I34+(I17="legal")*I36,0)</f>
        <v>0</v>
      </c>
      <c r="J42" s="83">
        <f t="shared" si="76"/>
        <v>0</v>
      </c>
      <c r="K42" s="83">
        <f t="shared" ref="K42" si="78">MAX(-K35+K34+(K17="legal")*K36,0)</f>
        <v>0</v>
      </c>
      <c r="L42" s="83">
        <f t="shared" si="76"/>
        <v>0</v>
      </c>
      <c r="M42" s="84">
        <f t="shared" ref="M42" si="79">MAX(-M35+M34+(M17="legal")*M36,0)</f>
        <v>0</v>
      </c>
      <c r="N42" s="84">
        <f t="shared" si="76"/>
        <v>0</v>
      </c>
      <c r="O42" s="84">
        <f t="shared" si="76"/>
        <v>0</v>
      </c>
      <c r="P42" s="84">
        <f t="shared" si="76"/>
        <v>0</v>
      </c>
      <c r="Q42" s="84">
        <f t="shared" si="76"/>
        <v>0</v>
      </c>
      <c r="R42" s="83">
        <f t="shared" ref="R42" si="80">MAX(-R35+R34+(R17="legal")*R36,0)</f>
        <v>0</v>
      </c>
      <c r="S42" s="84">
        <f t="shared" si="76"/>
        <v>0</v>
      </c>
      <c r="T42" s="82" t="str">
        <f t="shared" si="50"/>
        <v>subtotal sobra excedente</v>
      </c>
      <c r="V42" s="22"/>
      <c r="Z42" s="22"/>
      <c r="AA42" s="22"/>
      <c r="AB42" s="22"/>
      <c r="AC42" s="22"/>
      <c r="AD42" s="1"/>
      <c r="AE42" s="1"/>
      <c r="AF42" s="22"/>
      <c r="AG42" s="22"/>
      <c r="AH42" s="22"/>
      <c r="AI42" s="22"/>
      <c r="AJ42" s="22"/>
      <c r="AK42" s="22"/>
      <c r="AL42" s="22"/>
      <c r="AM42" s="22"/>
      <c r="AN42" s="22"/>
      <c r="AO42" s="22"/>
      <c r="AP42" s="22"/>
      <c r="AQ42" s="22"/>
      <c r="AR42" s="22"/>
      <c r="AS42" s="22"/>
      <c r="AT42" s="22"/>
      <c r="AU42" s="22"/>
    </row>
    <row r="43" spans="1:47" ht="17.25" customHeight="1" x14ac:dyDescent="0.2">
      <c r="A43" s="474"/>
      <c r="B43" s="470" t="s">
        <v>139</v>
      </c>
      <c r="C43" s="471"/>
      <c r="D43" s="276">
        <f t="shared" ref="D43:J43" si="81">SUM(D27,D28)</f>
        <v>0</v>
      </c>
      <c r="E43" s="258">
        <f t="shared" si="81"/>
        <v>13.02</v>
      </c>
      <c r="F43" s="145">
        <f t="shared" ref="F43:G43" si="82">SUM(F27,F28)</f>
        <v>9.2336999999999989</v>
      </c>
      <c r="G43" s="145">
        <f t="shared" si="82"/>
        <v>14.794920000000001</v>
      </c>
      <c r="H43" s="145">
        <f>SUM(H27,H28)</f>
        <v>16.065000000000001</v>
      </c>
      <c r="I43" s="145">
        <f>SUM(I27,I28)</f>
        <v>13.055489999999999</v>
      </c>
      <c r="J43" s="145">
        <f t="shared" si="81"/>
        <v>12.657540000000001</v>
      </c>
      <c r="K43" s="145">
        <f t="shared" ref="K43" si="83">SUM(K27,K28)</f>
        <v>8.178449999999998</v>
      </c>
      <c r="L43" s="145">
        <f t="shared" ref="L43:S43" si="84">SUM(L27,L28)</f>
        <v>17.202780000000001</v>
      </c>
      <c r="M43" s="146">
        <f t="shared" ref="M43" si="85">SUM(M27,M28)</f>
        <v>8.9176931506849311</v>
      </c>
      <c r="N43" s="146">
        <f>SUM(N27,N28)</f>
        <v>10.978485000000001</v>
      </c>
      <c r="O43" s="146">
        <f t="shared" si="84"/>
        <v>16.838535</v>
      </c>
      <c r="P43" s="146">
        <f>SUM(P27,P28)</f>
        <v>15.465205479452052</v>
      </c>
      <c r="Q43" s="146">
        <f t="shared" si="84"/>
        <v>15.240749999999998</v>
      </c>
      <c r="R43" s="145">
        <f t="shared" si="84"/>
        <v>18.554760000000002</v>
      </c>
      <c r="S43" s="146">
        <f t="shared" si="84"/>
        <v>9.0739665205479447</v>
      </c>
      <c r="T43" s="147" t="s">
        <v>72</v>
      </c>
      <c r="V43" s="22"/>
      <c r="Z43" s="22"/>
      <c r="AA43" s="22"/>
      <c r="AB43" s="22"/>
      <c r="AC43" s="22"/>
      <c r="AD43" s="1"/>
      <c r="AE43" s="1"/>
      <c r="AF43" s="22"/>
      <c r="AG43" s="22"/>
      <c r="AH43" s="22"/>
      <c r="AI43" s="22"/>
      <c r="AJ43" s="22"/>
      <c r="AK43" s="22"/>
      <c r="AL43" s="22"/>
      <c r="AM43" s="22"/>
      <c r="AN43" s="22"/>
      <c r="AO43" s="22"/>
      <c r="AP43" s="22"/>
      <c r="AQ43" s="22"/>
      <c r="AR43" s="22"/>
      <c r="AS43" s="22"/>
      <c r="AT43" s="22"/>
      <c r="AU43" s="22"/>
    </row>
    <row r="44" spans="1:47" s="63" customFormat="1" ht="18.75" customHeight="1" x14ac:dyDescent="0.2">
      <c r="A44" s="474"/>
      <c r="B44" s="470" t="s">
        <v>140</v>
      </c>
      <c r="C44" s="471"/>
      <c r="D44" s="276">
        <f>CHOOSE(MATCH(D$17,$A69:$A$72,0),SUM(D30,D31,D32),MAX(D35-$C$34*D16,D36),MAX(D35-$C$34*D16,0),MAX(D35-$C$34*D16,0))</f>
        <v>0</v>
      </c>
      <c r="E44" s="258">
        <f>CHOOSE(MATCH(E$17,$A69:$A$72,0),SUM(E30,E31,E32),MAX(E35-$C$34*E16,E36),MAX(E35-$C$34*E16,0),MAX(E35-$C$34*E16,0))</f>
        <v>24</v>
      </c>
      <c r="F44" s="145">
        <f>CHOOSE(MATCH(F$17,$A69:$A$72,0),SUM(F30,F31,F32),MAX(F35-$C$34*F16,F36),MAX(F35-$C$34*F16,0),MAX(F35-$C$34*F16,0))</f>
        <v>24.634149999999998</v>
      </c>
      <c r="G44" s="145">
        <f>CHOOSE(MATCH(G$17,$A69:$A$72,0),SUM(G30,G31,G32),MAX(G35-$C$34*G16,G36),MAX(G35-$C$34*G16,0),MAX(G35-$C$34*G16,0))</f>
        <v>23.42895</v>
      </c>
      <c r="H44" s="145">
        <f>CHOOSE(MATCH(H$17,$A69:$A$72,0),SUM(H30,H31,H32),MAX(H35-$C$34*H16,H36),MAX(H35-$C$34*H16,0),MAX(H35-$C$34*H16,0))</f>
        <v>21</v>
      </c>
      <c r="I44" s="145">
        <f>CHOOSE(MATCH(I$17,$A69:$A$72,0),SUM(I30,I31,I32),MAX(I35-$C$34*I16,I36),MAX(I35-$C$34*I16,0),MAX(I35-$C$34*I16,0))</f>
        <v>21.02535</v>
      </c>
      <c r="J44" s="145">
        <f>CHOOSE(MATCH(J$17,$A69:$A$72,0),SUM(J30,J31,J32),MAX(J35-$C$34*J16,J36),MAX(J35-$C$34*J16,0),MAX(J35-$C$34*J16,0))</f>
        <v>19.599800000000002</v>
      </c>
      <c r="K44" s="145">
        <f>CHOOSE(MATCH(K$17,$A69:$A$72,0),SUM(K30,K31,K32),MAX(K35-$C$34*K16,K36),MAX(K35-$C$34*K16,0),MAX(K35-$C$34*K16,0))</f>
        <v>24.155149999999999</v>
      </c>
      <c r="L44" s="145">
        <f>CHOOSE(MATCH(L$17,$A69:$A$72,0),SUM(L30,L31,L32),MAX(L35-$C$34*L16,L36),MAX(L35-$C$34*L16,0),MAX(L35-$C$34*L16,0))</f>
        <v>23.98</v>
      </c>
      <c r="M44" s="146">
        <f>CHOOSE(MATCH(M$17,$A69:$A$72,0),SUM(M30,M31,M32),MAX(M35-$C$34*M16,M36),MAX(M35-$C$34*M16,0),MAX(M35-$C$34*M16,0))</f>
        <v>25.1325</v>
      </c>
      <c r="N44" s="146">
        <f>CHOOSE(MATCH(N$17,$A69:$A$72,0),SUM(N30,N31,N32),MAX(N35-$C$34*N16,N36),MAX(N35-$C$34*N16,0),MAX(N35-$C$34*N16,0))</f>
        <v>26.498999999999999</v>
      </c>
      <c r="O44" s="146">
        <f>CHOOSE(MATCH(O$17,$A69:$A$72,0),SUM(O30,O31,O32),MAX(O35-$C$34*O16,O36),MAX(O35-$C$34*O16,0),MAX(O35-$C$34*O16,0))</f>
        <v>21.55</v>
      </c>
      <c r="P44" s="146">
        <f>CHOOSE(MATCH(P$17,$A69:$A$72,0),SUM(P30,P31,P32),MAX(P35-$C$34*P16,P36),MAX(P35-$C$34*P16,0),MAX(P35-$C$34*P16,0))</f>
        <v>20.52</v>
      </c>
      <c r="Q44" s="146">
        <f>CHOOSE(MATCH(Q$17,$A69:$A$72,0),SUM(Q30,Q31,Q32),MAX(Q35-$C$34*Q16,Q36),MAX(Q35-$C$34*Q16,0),MAX(Q35-$C$34*Q16,0))</f>
        <v>21.492699999999999</v>
      </c>
      <c r="R44" s="145">
        <f>CHOOSE(MATCH(R$17,$A69:$A$72,0),SUM(R30,R31,R32),MAX(R35-$C$34*R16,R36),MAX(R35-$C$34*R16,0),MAX(R35-$C$34*R16,0))</f>
        <v>27.799999999999997</v>
      </c>
      <c r="S44" s="146">
        <f>CHOOSE(MATCH(S$17,$A69:$A$72,0),SUM(S30,S31,S32),MAX(S35-$C$34*S16,S36),MAX(S35-$C$34*S16,0),MAX(S35-$C$34*S16,0))</f>
        <v>26.189999999999998</v>
      </c>
      <c r="T44" s="147" t="s">
        <v>141</v>
      </c>
      <c r="U44" s="22"/>
      <c r="AD44" s="64"/>
      <c r="AE44" s="64"/>
      <c r="AF44" s="22"/>
    </row>
    <row r="45" spans="1:47" ht="12.75" x14ac:dyDescent="0.2">
      <c r="A45" s="474"/>
      <c r="B45" s="499" t="s">
        <v>142</v>
      </c>
      <c r="C45" s="500"/>
      <c r="D45" s="277">
        <f t="shared" ref="D45:S45" si="86">MAX(+D34-D44-D35,0)</f>
        <v>0</v>
      </c>
      <c r="E45" s="259">
        <f t="shared" si="86"/>
        <v>0</v>
      </c>
      <c r="F45" s="302">
        <f t="shared" ref="F45:G45" si="87">MAX(+F34-F44-F35,0)</f>
        <v>0</v>
      </c>
      <c r="G45" s="302">
        <f t="shared" si="87"/>
        <v>0</v>
      </c>
      <c r="H45" s="302">
        <f>MAX(+H34-H44-H35,0)</f>
        <v>0</v>
      </c>
      <c r="I45" s="302">
        <f>MAX(+I34-I44-I35,0)</f>
        <v>0</v>
      </c>
      <c r="J45" s="85">
        <f t="shared" si="86"/>
        <v>0</v>
      </c>
      <c r="K45" s="85">
        <f t="shared" ref="K45" si="88">MAX(+K34-K44-K35,0)</f>
        <v>0</v>
      </c>
      <c r="L45" s="85">
        <f t="shared" si="86"/>
        <v>0</v>
      </c>
      <c r="M45" s="86">
        <f t="shared" ref="M45" si="89">MAX(+M34-M44-M35,0)</f>
        <v>0</v>
      </c>
      <c r="N45" s="86">
        <f t="shared" si="86"/>
        <v>0</v>
      </c>
      <c r="O45" s="86">
        <f t="shared" si="86"/>
        <v>0</v>
      </c>
      <c r="P45" s="86">
        <f t="shared" si="86"/>
        <v>0</v>
      </c>
      <c r="Q45" s="86">
        <f t="shared" si="86"/>
        <v>0</v>
      </c>
      <c r="R45" s="85">
        <f t="shared" ref="R45" si="90">MAX(+R34-R44-R35,0)</f>
        <v>0</v>
      </c>
      <c r="S45" s="86">
        <f t="shared" si="86"/>
        <v>0</v>
      </c>
      <c r="T45" s="87" t="s">
        <v>143</v>
      </c>
      <c r="U45" s="63"/>
      <c r="V45" s="22"/>
      <c r="Z45" s="22"/>
      <c r="AA45" s="22"/>
      <c r="AB45" s="22"/>
      <c r="AC45" s="22"/>
      <c r="AD45" s="22"/>
      <c r="AE45" s="22"/>
      <c r="AF45" s="63"/>
      <c r="AG45" s="22"/>
      <c r="AH45" s="22"/>
      <c r="AI45" s="22"/>
      <c r="AJ45" s="22"/>
      <c r="AK45" s="22"/>
      <c r="AL45" s="22"/>
      <c r="AM45" s="22"/>
      <c r="AN45" s="22"/>
      <c r="AO45" s="22"/>
      <c r="AP45" s="22"/>
      <c r="AQ45" s="22"/>
      <c r="AR45" s="22"/>
      <c r="AS45" s="22"/>
      <c r="AT45" s="22"/>
      <c r="AU45" s="22"/>
    </row>
    <row r="46" spans="1:47" s="22" customFormat="1" ht="27" customHeight="1" x14ac:dyDescent="0.2">
      <c r="A46" s="474"/>
      <c r="B46" s="513" t="s">
        <v>144</v>
      </c>
      <c r="C46" s="514"/>
      <c r="D46" s="278">
        <f>+D44/$C$33</f>
        <v>0</v>
      </c>
      <c r="E46" s="260">
        <f t="shared" ref="E46:S46" si="91">+E35/$C$33</f>
        <v>0.12</v>
      </c>
      <c r="F46" s="303">
        <f t="shared" ref="F46:G46" si="92">+F35/$C$33</f>
        <v>0.12317075</v>
      </c>
      <c r="G46" s="303">
        <f t="shared" si="92"/>
        <v>0.11714475000000001</v>
      </c>
      <c r="H46" s="303">
        <f>+H35/$C$33</f>
        <v>0.105</v>
      </c>
      <c r="I46" s="303">
        <f>+I35/$C$33</f>
        <v>0.10512674999999999</v>
      </c>
      <c r="J46" s="151">
        <f t="shared" si="91"/>
        <v>9.7999000000000003E-2</v>
      </c>
      <c r="K46" s="151">
        <f t="shared" ref="K46" si="93">+K35/$C$33</f>
        <v>0.12077575</v>
      </c>
      <c r="L46" s="151">
        <f t="shared" si="91"/>
        <v>0.11990000000000001</v>
      </c>
      <c r="M46" s="151">
        <f t="shared" ref="M46" si="94">+M35/$C$33</f>
        <v>0.12566250000000001</v>
      </c>
      <c r="N46" s="151">
        <f t="shared" si="91"/>
        <v>0.132495</v>
      </c>
      <c r="O46" s="151">
        <f t="shared" si="91"/>
        <v>0.10775</v>
      </c>
      <c r="P46" s="151">
        <f t="shared" si="91"/>
        <v>0.1026</v>
      </c>
      <c r="Q46" s="151">
        <f t="shared" si="91"/>
        <v>0.10746349999999999</v>
      </c>
      <c r="R46" s="151">
        <f t="shared" ref="R46" si="95">+R35/$C$33</f>
        <v>0.13899999999999998</v>
      </c>
      <c r="S46" s="151">
        <f t="shared" si="91"/>
        <v>0.13094999999999998</v>
      </c>
      <c r="T46" s="152" t="s">
        <v>145</v>
      </c>
      <c r="U46" s="63"/>
    </row>
    <row r="47" spans="1:47" ht="12.75" x14ac:dyDescent="0.2">
      <c r="A47" s="474"/>
      <c r="B47" s="515"/>
      <c r="C47" s="516"/>
      <c r="D47" s="279"/>
      <c r="E47" s="261"/>
      <c r="F47" s="304"/>
      <c r="G47" s="304"/>
      <c r="H47" s="304"/>
      <c r="I47" s="304"/>
      <c r="J47" s="88"/>
      <c r="K47" s="88"/>
      <c r="L47" s="88"/>
      <c r="M47" s="89"/>
      <c r="N47" s="89"/>
      <c r="O47" s="89"/>
      <c r="P47" s="89"/>
      <c r="Q47" s="89"/>
      <c r="R47" s="88"/>
      <c r="S47" s="89"/>
      <c r="T47" s="90"/>
      <c r="V47" s="22"/>
      <c r="Z47" s="22"/>
      <c r="AA47" s="22"/>
      <c r="AB47" s="22"/>
      <c r="AC47" s="22"/>
      <c r="AD47" s="2"/>
      <c r="AE47" s="2"/>
      <c r="AF47" s="22"/>
      <c r="AG47" s="22"/>
      <c r="AH47" s="22"/>
      <c r="AI47" s="22"/>
      <c r="AJ47" s="22"/>
      <c r="AK47" s="22"/>
      <c r="AL47" s="22"/>
      <c r="AM47" s="22"/>
      <c r="AN47" s="22"/>
      <c r="AO47" s="22"/>
      <c r="AP47" s="22"/>
      <c r="AQ47" s="22"/>
      <c r="AR47" s="22"/>
      <c r="AS47" s="22"/>
      <c r="AT47" s="22"/>
      <c r="AU47" s="22"/>
    </row>
    <row r="48" spans="1:47" s="22" customFormat="1" ht="12.75" x14ac:dyDescent="0.2">
      <c r="A48" s="474"/>
      <c r="B48" s="182" t="s">
        <v>146</v>
      </c>
      <c r="C48" s="107">
        <f>6.979247/365</f>
        <v>1.9121224657534245E-2</v>
      </c>
      <c r="D48" s="280">
        <f t="shared" ref="D48:R48" si="96">+finbonsoc*diasfct</f>
        <v>0.57363673972602736</v>
      </c>
      <c r="E48" s="262">
        <f t="shared" si="96"/>
        <v>0.57363673972602736</v>
      </c>
      <c r="F48" s="94">
        <f t="shared" si="96"/>
        <v>0.57363673972602736</v>
      </c>
      <c r="G48" s="94">
        <f t="shared" si="96"/>
        <v>0.57363673972602736</v>
      </c>
      <c r="H48" s="94">
        <f t="shared" si="96"/>
        <v>0.57363673972602736</v>
      </c>
      <c r="I48" s="94">
        <f t="shared" si="96"/>
        <v>0.57363673972602736</v>
      </c>
      <c r="J48" s="92">
        <f t="shared" si="96"/>
        <v>0.57363673972602736</v>
      </c>
      <c r="K48" s="92">
        <f t="shared" si="96"/>
        <v>0.57363673972602736</v>
      </c>
      <c r="L48" s="92">
        <f t="shared" si="96"/>
        <v>0.57363673972602736</v>
      </c>
      <c r="M48" s="417">
        <v>0</v>
      </c>
      <c r="N48" s="92">
        <f t="shared" si="96"/>
        <v>0.57363673972602736</v>
      </c>
      <c r="O48" s="92">
        <f t="shared" si="96"/>
        <v>0.57363673972602736</v>
      </c>
      <c r="P48" s="92">
        <f t="shared" si="96"/>
        <v>0.57363673972602736</v>
      </c>
      <c r="Q48" s="92">
        <f t="shared" si="96"/>
        <v>0.57363673972602736</v>
      </c>
      <c r="R48" s="92">
        <f t="shared" si="96"/>
        <v>0.57363673972602736</v>
      </c>
      <c r="S48" s="92">
        <f>+finbonsoc*diasfct</f>
        <v>0.57363673972602736</v>
      </c>
      <c r="T48" s="95" t="str">
        <f t="shared" ref="T48:T59" si="97">B48</f>
        <v>Financ. Bono Social (€/día)</v>
      </c>
      <c r="AD48" s="2"/>
      <c r="AE48" s="2"/>
    </row>
    <row r="49" spans="1:47" ht="15.75" customHeight="1" x14ac:dyDescent="0.2">
      <c r="A49" s="474"/>
      <c r="B49" s="183" t="s">
        <v>147</v>
      </c>
      <c r="C49" s="116">
        <v>5.11E-2</v>
      </c>
      <c r="D49" s="281">
        <f t="shared" ref="D49:J49" si="98">MAX($C$33*0.001,(D43+D44+D48)*IEact)</f>
        <v>0.2</v>
      </c>
      <c r="E49" s="263">
        <f t="shared" si="98"/>
        <v>1.9210348373999997</v>
      </c>
      <c r="F49" s="91">
        <f t="shared" ref="F49:G49" si="99">MAX($C$33*0.001,(F43+F44+F48)*IEact)</f>
        <v>1.7599599723999999</v>
      </c>
      <c r="G49" s="91">
        <f t="shared" si="99"/>
        <v>1.9825525944000002</v>
      </c>
      <c r="H49" s="91">
        <f>MAX($C$33*0.001,(H43+H44+H48)*IEact)</f>
        <v>1.9233343373999998</v>
      </c>
      <c r="I49" s="91">
        <f>MAX($C$33*0.001,(I43+I44+I48)*IEact)</f>
        <v>1.7708437613999997</v>
      </c>
      <c r="J49" s="91">
        <f t="shared" si="98"/>
        <v>1.6776629113999999</v>
      </c>
      <c r="K49" s="91">
        <f t="shared" ref="K49" si="100">MAX($C$33*0.001,(K43+K44+K48)*IEact)</f>
        <v>1.6815597973999998</v>
      </c>
      <c r="L49" s="91">
        <f t="shared" ref="L49:S49" si="101">MAX($C$33*0.001,(L43+L44+L48)*IEact)</f>
        <v>2.1337528953999998</v>
      </c>
      <c r="M49" s="91">
        <f t="shared" ref="M49" si="102">MAX($C$33*0.001,(M43+M44+M48)*IEact)</f>
        <v>1.7399648700000001</v>
      </c>
      <c r="N49" s="91">
        <f t="shared" si="101"/>
        <v>1.9444123208999999</v>
      </c>
      <c r="O49" s="91">
        <f t="shared" si="101"/>
        <v>1.9909669759000002</v>
      </c>
      <c r="P49" s="91">
        <f>MAX($C$33*0.001,(P43+P44+P48)*IEact)</f>
        <v>1.8681568373999997</v>
      </c>
      <c r="Q49" s="91">
        <f t="shared" si="101"/>
        <v>1.9063921323999999</v>
      </c>
      <c r="R49" s="91">
        <f t="shared" si="101"/>
        <v>2.3980410733999999</v>
      </c>
      <c r="S49" s="91">
        <f t="shared" si="101"/>
        <v>1.8313015265999997</v>
      </c>
      <c r="T49" s="93" t="str">
        <f t="shared" si="97"/>
        <v>Impuesto Eléctrico (5,11%)</v>
      </c>
      <c r="V49" s="22"/>
      <c r="Z49" s="22"/>
      <c r="AA49" s="22"/>
      <c r="AB49" s="22"/>
      <c r="AC49" s="22"/>
      <c r="AD49" s="2"/>
      <c r="AE49" s="2"/>
      <c r="AF49" s="22"/>
      <c r="AG49" s="22"/>
      <c r="AH49" s="22"/>
      <c r="AI49" s="22"/>
      <c r="AJ49" s="22"/>
      <c r="AK49" s="22"/>
      <c r="AL49" s="22"/>
      <c r="AM49" s="22"/>
      <c r="AN49" s="22"/>
      <c r="AO49" s="22"/>
      <c r="AP49" s="22"/>
      <c r="AQ49" s="22"/>
      <c r="AR49" s="22"/>
      <c r="AS49" s="22"/>
      <c r="AT49" s="22"/>
      <c r="AU49" s="22"/>
    </row>
    <row r="50" spans="1:47" ht="15.75" customHeight="1" x14ac:dyDescent="0.2">
      <c r="A50" s="474"/>
      <c r="B50" s="182" t="s">
        <v>148</v>
      </c>
      <c r="C50" s="199">
        <f>0.81/30</f>
        <v>2.7000000000000003E-2</v>
      </c>
      <c r="D50" s="280">
        <f t="shared" ref="D50:R50" si="103">+contadordia*diasfct</f>
        <v>0.81</v>
      </c>
      <c r="E50" s="262">
        <f t="shared" si="103"/>
        <v>0.81</v>
      </c>
      <c r="F50" s="94">
        <f t="shared" si="103"/>
        <v>0.81</v>
      </c>
      <c r="G50" s="94">
        <f t="shared" si="103"/>
        <v>0.81</v>
      </c>
      <c r="H50" s="94">
        <f t="shared" si="103"/>
        <v>0.81</v>
      </c>
      <c r="I50" s="94">
        <f t="shared" si="103"/>
        <v>0.81</v>
      </c>
      <c r="J50" s="92">
        <f t="shared" si="103"/>
        <v>0.81</v>
      </c>
      <c r="K50" s="92">
        <f t="shared" si="103"/>
        <v>0.81</v>
      </c>
      <c r="L50" s="92">
        <f t="shared" si="103"/>
        <v>0.81</v>
      </c>
      <c r="M50" s="92">
        <f t="shared" si="103"/>
        <v>0.81</v>
      </c>
      <c r="N50" s="92">
        <f t="shared" si="103"/>
        <v>0.81</v>
      </c>
      <c r="O50" s="92">
        <f t="shared" si="103"/>
        <v>0.81</v>
      </c>
      <c r="P50" s="92">
        <f t="shared" si="103"/>
        <v>0.81</v>
      </c>
      <c r="Q50" s="92">
        <f t="shared" si="103"/>
        <v>0.81</v>
      </c>
      <c r="R50" s="92">
        <f t="shared" si="103"/>
        <v>0.81</v>
      </c>
      <c r="S50" s="92">
        <f>+contadordia*diasfct</f>
        <v>0.81</v>
      </c>
      <c r="T50" s="95" t="str">
        <f t="shared" si="97"/>
        <v>Alquiler contador (por día)</v>
      </c>
      <c r="V50" s="22"/>
      <c r="Z50" s="22"/>
      <c r="AA50" s="22"/>
      <c r="AB50" s="22"/>
      <c r="AC50" s="22"/>
      <c r="AD50" s="2"/>
      <c r="AE50" s="2"/>
      <c r="AF50" s="22"/>
      <c r="AG50" s="22"/>
      <c r="AH50" s="22"/>
      <c r="AI50" s="22"/>
      <c r="AJ50" s="22"/>
      <c r="AK50" s="22"/>
      <c r="AL50" s="22"/>
      <c r="AM50" s="22"/>
      <c r="AN50" s="22"/>
      <c r="AO50" s="22"/>
      <c r="AP50" s="22"/>
      <c r="AQ50" s="22"/>
      <c r="AR50" s="22"/>
      <c r="AS50" s="22"/>
      <c r="AT50" s="22"/>
      <c r="AU50" s="22"/>
    </row>
    <row r="51" spans="1:47" ht="15.75" customHeight="1" x14ac:dyDescent="0.2">
      <c r="A51" s="474"/>
      <c r="B51" s="182" t="s">
        <v>149</v>
      </c>
      <c r="C51" s="108"/>
      <c r="D51" s="282" t="str">
        <f t="shared" ref="D51:S51" si="104">IF(D18="NO","0",diasfct*D18)</f>
        <v>0</v>
      </c>
      <c r="E51" s="264">
        <f t="shared" ref="E51:J51" si="105">IF(E18="NO","0",diasfct*E18)</f>
        <v>0</v>
      </c>
      <c r="F51" s="96">
        <f t="shared" ref="F51:G51" si="106">IF(F18="NO","0",diasfct*F18)</f>
        <v>0</v>
      </c>
      <c r="G51" s="96">
        <f t="shared" si="106"/>
        <v>0</v>
      </c>
      <c r="H51" s="96">
        <f>IF(H18="NO","0",diasfct*H18)</f>
        <v>0</v>
      </c>
      <c r="I51" s="96">
        <f>IF(I18="NO","0",diasfct*I18)</f>
        <v>0</v>
      </c>
      <c r="J51" s="97" t="str">
        <f t="shared" si="105"/>
        <v>0</v>
      </c>
      <c r="K51" s="97" t="str">
        <f t="shared" ref="K51" si="107">IF(K18="NO","0",diasfct*K18)</f>
        <v>0</v>
      </c>
      <c r="L51" s="97" t="str">
        <f t="shared" si="104"/>
        <v>0</v>
      </c>
      <c r="M51" s="97" t="str">
        <f t="shared" ref="M51" si="108">IF(M18="NO","0",diasfct*M18)</f>
        <v>0</v>
      </c>
      <c r="N51" s="97">
        <f t="shared" si="104"/>
        <v>0</v>
      </c>
      <c r="O51" s="97">
        <f t="shared" si="104"/>
        <v>0</v>
      </c>
      <c r="P51" s="97">
        <f>IF(P18="NO","0",diasfct*P18)</f>
        <v>0</v>
      </c>
      <c r="Q51" s="97" t="str">
        <f t="shared" si="104"/>
        <v>0</v>
      </c>
      <c r="R51" s="97" t="str">
        <f t="shared" ref="R51" si="109">IF(R18="NO","0",diasfct*R18)</f>
        <v>0</v>
      </c>
      <c r="S51" s="97" t="str">
        <f t="shared" si="104"/>
        <v>0</v>
      </c>
      <c r="T51" s="95" t="str">
        <f t="shared" si="97"/>
        <v>coste batería virtual</v>
      </c>
      <c r="V51" s="22"/>
      <c r="Z51" s="22"/>
      <c r="AA51" s="22"/>
      <c r="AB51" s="22"/>
      <c r="AC51" s="22"/>
      <c r="AD51" s="2"/>
      <c r="AE51" s="2"/>
      <c r="AF51" s="22"/>
      <c r="AG51" s="22"/>
      <c r="AH51" s="22"/>
      <c r="AI51" s="22"/>
      <c r="AJ51" s="22"/>
      <c r="AK51" s="22"/>
      <c r="AL51" s="22"/>
      <c r="AM51" s="22"/>
      <c r="AN51" s="22"/>
      <c r="AO51" s="22"/>
      <c r="AP51" s="22"/>
      <c r="AQ51" s="22"/>
      <c r="AR51" s="22"/>
      <c r="AS51" s="22"/>
      <c r="AT51" s="22"/>
      <c r="AU51" s="22"/>
    </row>
    <row r="52" spans="1:47" ht="12.75" x14ac:dyDescent="0.2">
      <c r="A52" s="474"/>
      <c r="B52" s="184" t="s">
        <v>150</v>
      </c>
      <c r="C52" s="109"/>
      <c r="D52" s="282">
        <f>IFERROR(+D43+D44+D48+D49+D50+D51*($C$34&gt;0),"")</f>
        <v>1.5836367397260274</v>
      </c>
      <c r="E52" s="264">
        <f t="shared" ref="E52:L52" si="110">+E43+E44+E48+E49+E50+E51*($C$34&gt;0)</f>
        <v>40.324671577126026</v>
      </c>
      <c r="F52" s="96">
        <f t="shared" ref="F52:G52" si="111">+F43+F44+F48+F49+F50+F51*($C$34&gt;0)</f>
        <v>37.011446712126023</v>
      </c>
      <c r="G52" s="96">
        <f t="shared" si="111"/>
        <v>41.590059334126032</v>
      </c>
      <c r="H52" s="96">
        <f>+H43+H44+H48+H49+H50+H51*($C$34&gt;0)</f>
        <v>40.371971077126027</v>
      </c>
      <c r="I52" s="96">
        <f>+I43+I44+I48+I49+I50+I51*($C$34&gt;0)</f>
        <v>37.235320501126026</v>
      </c>
      <c r="J52" s="96">
        <f t="shared" si="110"/>
        <v>35.318639651126027</v>
      </c>
      <c r="K52" s="96">
        <f t="shared" ref="K52" si="112">+K43+K44+K48+K49+K50+K51*($C$34&gt;0)</f>
        <v>35.398796537126024</v>
      </c>
      <c r="L52" s="96">
        <f t="shared" si="110"/>
        <v>44.700169635126031</v>
      </c>
      <c r="M52" s="96">
        <f t="shared" ref="M52" si="113">+M43+M44+M48+M49+M50+M51*($C$34&gt;0)</f>
        <v>36.600158020684937</v>
      </c>
      <c r="N52" s="96">
        <f t="shared" ref="N52:S52" si="114">+N43+N44+N48+N49+N50+N51*($C$34&gt;0)</f>
        <v>40.80553406062603</v>
      </c>
      <c r="O52" s="96">
        <f t="shared" si="114"/>
        <v>41.763138715626035</v>
      </c>
      <c r="P52" s="96">
        <f>+P43+P44+P48+P49+P50+P51*($C$34&gt;0)</f>
        <v>39.236999056578078</v>
      </c>
      <c r="Q52" s="96">
        <f t="shared" si="114"/>
        <v>40.023478872126027</v>
      </c>
      <c r="R52" s="96">
        <f t="shared" si="114"/>
        <v>50.13643781312603</v>
      </c>
      <c r="S52" s="96">
        <f t="shared" si="114"/>
        <v>38.478904786873969</v>
      </c>
      <c r="T52" s="98" t="str">
        <f t="shared" si="97"/>
        <v>Total Bruto</v>
      </c>
      <c r="V52" s="22"/>
      <c r="Z52" s="22"/>
      <c r="AA52" s="22"/>
      <c r="AB52" s="22"/>
      <c r="AC52" s="22"/>
      <c r="AD52" s="2"/>
      <c r="AE52" s="2"/>
      <c r="AF52" s="22"/>
      <c r="AG52" s="22"/>
      <c r="AH52" s="22"/>
      <c r="AI52" s="22"/>
      <c r="AJ52" s="22"/>
      <c r="AK52" s="22"/>
      <c r="AL52" s="22"/>
      <c r="AM52" s="22"/>
      <c r="AN52" s="22"/>
      <c r="AO52" s="22"/>
      <c r="AP52" s="22"/>
      <c r="AQ52" s="22"/>
      <c r="AR52" s="22"/>
      <c r="AS52" s="22"/>
      <c r="AT52" s="22"/>
      <c r="AU52" s="22"/>
    </row>
    <row r="53" spans="1:47" s="22" customFormat="1" ht="12.75" x14ac:dyDescent="0.2">
      <c r="A53" s="474"/>
      <c r="B53" s="182" t="s">
        <v>151</v>
      </c>
      <c r="C53" s="110">
        <v>0.21</v>
      </c>
      <c r="D53" s="280">
        <f>IFERROR(D52*IVAact,"")</f>
        <v>0.33256371534246576</v>
      </c>
      <c r="E53" s="262">
        <f t="shared" ref="E53:J53" si="115">E52*IVAact</f>
        <v>8.4681810311964654</v>
      </c>
      <c r="F53" s="94">
        <f t="shared" ref="F53:G53" si="116">F52*IVAact</f>
        <v>7.7724038095464643</v>
      </c>
      <c r="G53" s="94">
        <f t="shared" si="116"/>
        <v>8.7339124601664668</v>
      </c>
      <c r="H53" s="94">
        <f>H52*IVAact</f>
        <v>8.4781139261964658</v>
      </c>
      <c r="I53" s="94">
        <f>I52*IVAact</f>
        <v>7.8194173052364651</v>
      </c>
      <c r="J53" s="92">
        <f t="shared" si="115"/>
        <v>7.4169143267364657</v>
      </c>
      <c r="K53" s="92">
        <f t="shared" ref="K53" si="117">K52*IVAact</f>
        <v>7.4337472727964649</v>
      </c>
      <c r="L53" s="92">
        <f t="shared" ref="L53:S53" si="118">L52*IVAact</f>
        <v>9.387035623376466</v>
      </c>
      <c r="M53" s="92">
        <f t="shared" ref="M53" si="119">M52*IVAact</f>
        <v>7.6860331843438363</v>
      </c>
      <c r="N53" s="92">
        <f>N52*IVAact</f>
        <v>8.5691621527314652</v>
      </c>
      <c r="O53" s="92">
        <f t="shared" si="118"/>
        <v>8.7702591302814668</v>
      </c>
      <c r="P53" s="92">
        <f>P52*IVAact</f>
        <v>8.2397698018813958</v>
      </c>
      <c r="Q53" s="92">
        <f t="shared" si="118"/>
        <v>8.4049305631464648</v>
      </c>
      <c r="R53" s="92">
        <f t="shared" si="118"/>
        <v>10.528651940756466</v>
      </c>
      <c r="S53" s="92">
        <f t="shared" si="118"/>
        <v>8.0805700052435334</v>
      </c>
      <c r="T53" s="95" t="str">
        <f t="shared" si="97"/>
        <v>IVA (21%)</v>
      </c>
      <c r="Z53" s="15"/>
      <c r="AA53" s="1"/>
      <c r="AB53" s="2"/>
      <c r="AC53" s="2"/>
      <c r="AD53" s="2"/>
      <c r="AE53" s="2"/>
    </row>
    <row r="54" spans="1:47" s="22" customFormat="1" ht="12.75" x14ac:dyDescent="0.2">
      <c r="A54" s="474"/>
      <c r="B54" s="178"/>
      <c r="C54" s="111"/>
      <c r="D54" s="283"/>
      <c r="E54" s="265"/>
      <c r="F54" s="305"/>
      <c r="G54" s="305"/>
      <c r="H54" s="305"/>
      <c r="I54" s="305"/>
      <c r="J54" s="100"/>
      <c r="K54" s="100"/>
      <c r="L54" s="100"/>
      <c r="M54" s="100"/>
      <c r="N54" s="100"/>
      <c r="O54" s="100"/>
      <c r="P54" s="100"/>
      <c r="Q54" s="100"/>
      <c r="R54" s="100"/>
      <c r="S54" s="100"/>
      <c r="T54" s="95">
        <f t="shared" si="97"/>
        <v>0</v>
      </c>
      <c r="Z54" s="15"/>
      <c r="AA54" s="1"/>
      <c r="AB54" s="2"/>
      <c r="AC54" s="2"/>
      <c r="AD54" s="2"/>
      <c r="AE54" s="2"/>
    </row>
    <row r="55" spans="1:47" s="22" customFormat="1" ht="12.75" x14ac:dyDescent="0.2">
      <c r="A55" s="474"/>
      <c r="B55" s="185" t="s">
        <v>152</v>
      </c>
      <c r="C55" s="101"/>
      <c r="D55" s="284" t="str">
        <f>IF(OR(D8=0,D13=0,D14=0,D15=0),"-",+D52+D53)</f>
        <v>-</v>
      </c>
      <c r="E55" s="266">
        <f t="shared" ref="E55:L55" si="120">+E52+E53</f>
        <v>48.792852608322491</v>
      </c>
      <c r="F55" s="306">
        <f>+F52+F53</f>
        <v>44.783850521672491</v>
      </c>
      <c r="G55" s="306">
        <f t="shared" ref="G55" si="121">+G52+G53</f>
        <v>50.323971794292497</v>
      </c>
      <c r="H55" s="306">
        <f>+H52+H53</f>
        <v>48.850085003322491</v>
      </c>
      <c r="I55" s="306">
        <f>+I52+I53</f>
        <v>45.054737806362489</v>
      </c>
      <c r="J55" s="102">
        <f t="shared" si="120"/>
        <v>42.735553977862494</v>
      </c>
      <c r="K55" s="102">
        <f t="shared" ref="K55" si="122">+K52+K53</f>
        <v>42.832543809922491</v>
      </c>
      <c r="L55" s="102">
        <f t="shared" si="120"/>
        <v>54.087205258502493</v>
      </c>
      <c r="M55" s="102">
        <f t="shared" ref="M55" si="123">+M52+M53</f>
        <v>44.286191205028771</v>
      </c>
      <c r="N55" s="102">
        <f>+N52+N53</f>
        <v>49.374696213357495</v>
      </c>
      <c r="O55" s="102">
        <f t="shared" ref="O55:S55" si="124">+O52+O53</f>
        <v>50.533397845907501</v>
      </c>
      <c r="P55" s="102">
        <f>+P52+P53</f>
        <v>47.476768858459472</v>
      </c>
      <c r="Q55" s="102">
        <f t="shared" si="124"/>
        <v>48.428409435272492</v>
      </c>
      <c r="R55" s="102">
        <f t="shared" si="124"/>
        <v>60.665089753882498</v>
      </c>
      <c r="S55" s="102">
        <f t="shared" si="124"/>
        <v>46.559474792117499</v>
      </c>
      <c r="T55" s="103" t="str">
        <f t="shared" si="97"/>
        <v>TOTAL NETO provisional</v>
      </c>
      <c r="Z55" s="15"/>
      <c r="AA55" s="1"/>
      <c r="AB55" s="2"/>
      <c r="AC55" s="2"/>
      <c r="AD55" s="2"/>
      <c r="AE55" s="2"/>
    </row>
    <row r="56" spans="1:47" s="22" customFormat="1" ht="7.5" customHeight="1" x14ac:dyDescent="0.2">
      <c r="A56" s="474"/>
      <c r="B56" s="178"/>
      <c r="C56" s="99"/>
      <c r="D56" s="433">
        <f t="shared" ref="D56:S56" si="125">IF(D$22=0,0,IF(D$22/($C$33/diasfct*365)&gt;1,0,1))</f>
        <v>0</v>
      </c>
      <c r="E56" s="433">
        <f t="shared" si="125"/>
        <v>0</v>
      </c>
      <c r="F56" s="433">
        <f>IF(F$22=0,0,IF(F$22/($C$33/diasfct*365*(PPdia/2+PVdia/2))&gt;750,0,1))</f>
        <v>0</v>
      </c>
      <c r="G56" s="433">
        <f>IF(G$22=0,0,IF(G$22/($C$33/diasfct*365*(PPdia/2+PVdia/2))&gt;750,0,1))</f>
        <v>1</v>
      </c>
      <c r="H56" s="433">
        <f t="shared" si="125"/>
        <v>0</v>
      </c>
      <c r="I56" s="433">
        <f t="shared" si="125"/>
        <v>0</v>
      </c>
      <c r="J56" s="433">
        <f t="shared" si="125"/>
        <v>0</v>
      </c>
      <c r="K56" s="433">
        <f t="shared" si="125"/>
        <v>0</v>
      </c>
      <c r="L56" s="433">
        <f t="shared" si="125"/>
        <v>0</v>
      </c>
      <c r="M56" s="433">
        <f t="shared" si="125"/>
        <v>0</v>
      </c>
      <c r="N56" s="433">
        <f t="shared" si="125"/>
        <v>0</v>
      </c>
      <c r="O56" s="433">
        <f t="shared" si="125"/>
        <v>0</v>
      </c>
      <c r="P56" s="433">
        <f t="shared" si="125"/>
        <v>0</v>
      </c>
      <c r="Q56" s="433">
        <f t="shared" si="125"/>
        <v>0</v>
      </c>
      <c r="R56" s="433">
        <f t="shared" si="125"/>
        <v>0</v>
      </c>
      <c r="S56" s="433">
        <f t="shared" si="125"/>
        <v>0</v>
      </c>
      <c r="T56" s="95">
        <f t="shared" si="97"/>
        <v>0</v>
      </c>
      <c r="Z56" s="15"/>
      <c r="AA56" s="1"/>
      <c r="AB56" s="2"/>
      <c r="AC56" s="2"/>
      <c r="AD56" s="2"/>
      <c r="AE56" s="2"/>
    </row>
    <row r="57" spans="1:47" s="22" customFormat="1" ht="9" customHeight="1" thickBot="1" x14ac:dyDescent="0.25">
      <c r="A57" s="474"/>
      <c r="B57" s="207" t="s">
        <v>153</v>
      </c>
      <c r="C57" s="356"/>
      <c r="D57" s="357">
        <f t="shared" ref="D57:S57" si="126">D45</f>
        <v>0</v>
      </c>
      <c r="E57" s="358">
        <f t="shared" ref="E57:J57" si="127">E45</f>
        <v>0</v>
      </c>
      <c r="F57" s="359">
        <f>F45*(1+IVAact)*(1+IEact)</f>
        <v>0</v>
      </c>
      <c r="G57" s="359">
        <f t="shared" ref="G57" si="128">G45</f>
        <v>0</v>
      </c>
      <c r="H57" s="359">
        <f>H45</f>
        <v>0</v>
      </c>
      <c r="I57" s="359">
        <f>I45</f>
        <v>0</v>
      </c>
      <c r="J57" s="360">
        <f t="shared" si="127"/>
        <v>0</v>
      </c>
      <c r="K57" s="360">
        <f t="shared" ref="K57" si="129">K45</f>
        <v>0</v>
      </c>
      <c r="L57" s="360">
        <f t="shared" si="126"/>
        <v>0</v>
      </c>
      <c r="M57" s="360">
        <f t="shared" ref="M57" si="130">M45</f>
        <v>0</v>
      </c>
      <c r="N57" s="360">
        <f t="shared" si="126"/>
        <v>0</v>
      </c>
      <c r="O57" s="360">
        <f t="shared" si="126"/>
        <v>0</v>
      </c>
      <c r="P57" s="360">
        <f>P45</f>
        <v>0</v>
      </c>
      <c r="Q57" s="360">
        <f t="shared" si="126"/>
        <v>0</v>
      </c>
      <c r="R57" s="360">
        <f t="shared" ref="R57" si="131">R45</f>
        <v>0</v>
      </c>
      <c r="S57" s="188">
        <f t="shared" si="126"/>
        <v>0</v>
      </c>
      <c r="T57" s="189" t="str">
        <f t="shared" si="97"/>
        <v>excendente pendiente por compensar</v>
      </c>
      <c r="Z57" s="15"/>
      <c r="AA57" s="1"/>
      <c r="AB57" s="2"/>
      <c r="AC57" s="2"/>
      <c r="AD57" s="2"/>
      <c r="AE57" s="2"/>
    </row>
    <row r="58" spans="1:47" s="22" customFormat="1" x14ac:dyDescent="0.25">
      <c r="A58" s="474"/>
      <c r="B58" s="206" t="s">
        <v>154</v>
      </c>
      <c r="C58" s="361"/>
      <c r="D58" s="362" t="str">
        <f>IF(MATCH(D$17,$A69:$A$72,0)=4,MAX(D55-D57,0),D55)</f>
        <v>-</v>
      </c>
      <c r="E58" s="363">
        <f>IF(MATCH(E$17,$A69:$A$72,0)=4,MAX(E55-E57,0),E55)</f>
        <v>48.792852608322491</v>
      </c>
      <c r="F58" s="364" t="str">
        <f>IF(C34=0,"SOLO PLACAS",IF(MATCH(F$17,$A69:$A$72,0)=4,MAX(F55-F57,0),F55))</f>
        <v>SOLO PLACAS</v>
      </c>
      <c r="G58" s="364">
        <f>IF(MATCH(G$17,$A69:$A$72,0)=4,MAX(G55-G57,0),G55)</f>
        <v>50.323971794292497</v>
      </c>
      <c r="H58" s="364">
        <f>IF(MATCH(H$17,$A69:$A$72,0)=4,MAX(H55-H57,0),H55)</f>
        <v>48.850085003322491</v>
      </c>
      <c r="I58" s="364">
        <f>IF(MATCH(I$17,$A69:$A$72,0)=4,MAX(I55-I57,0),I55)</f>
        <v>45.054737806362489</v>
      </c>
      <c r="J58" s="365">
        <f>IF(MATCH(J$17,$A69:$A$72,0)=4,MAX(J55-J57,0),J55)</f>
        <v>42.735553977862494</v>
      </c>
      <c r="K58" s="365">
        <f>IF(MATCH(K$17,$A69:$A$72,0)=4,MAX(K55-K57,0),K55)</f>
        <v>42.832543809922491</v>
      </c>
      <c r="L58" s="365">
        <f>IF(MATCH(L$17,$A69:$A$72,0)=4,MAX(L55-L57,0),L55)</f>
        <v>54.087205258502493</v>
      </c>
      <c r="M58" s="365">
        <f>IF(MATCH(M$17,$A69:$A$72,0)=4,MAX(M55-M57,0),M55)</f>
        <v>44.286191205028771</v>
      </c>
      <c r="N58" s="365">
        <f>IF(MATCH(N$17,$A69:$A$72,0)=4,MAX(N55-N57,0),N55)</f>
        <v>49.374696213357495</v>
      </c>
      <c r="O58" s="365">
        <f>IF(MATCH(O$17,$A69:$A$72,0)=4,MAX(O55-O57,0),O55)</f>
        <v>50.533397845907501</v>
      </c>
      <c r="P58" s="365">
        <f>IF(MATCH(P$17,$A69:$A$72,0)=4,MAX(P55-P57,0),P55)</f>
        <v>47.476768858459472</v>
      </c>
      <c r="Q58" s="365">
        <f>IF(MATCH(Q$17,$A69:$A$72,0)=4,MAX(Q55-Q57,0),Q55)-5</f>
        <v>43.428409435272492</v>
      </c>
      <c r="R58" s="365">
        <f>IF(MATCH(R$17,$A69:$A$72,0)=4,MAX(R55-R57,0),R55)</f>
        <v>60.665089753882498</v>
      </c>
      <c r="S58" s="205">
        <f>IF(MATCH(S$17,$A69:$A$72,0)=4,MAX(S55-S57,0),S55)</f>
        <v>46.559474792117499</v>
      </c>
      <c r="T58" s="187" t="str">
        <f t="shared" si="97"/>
        <v>TOTAL FACTURA</v>
      </c>
      <c r="Z58" s="15"/>
      <c r="AA58" s="1"/>
      <c r="AB58" s="2"/>
      <c r="AC58" s="2"/>
      <c r="AD58" s="2"/>
      <c r="AE58" s="2"/>
    </row>
    <row r="59" spans="1:47" ht="15.75" customHeight="1" x14ac:dyDescent="0.25">
      <c r="A59" s="474"/>
      <c r="B59" s="192" t="s">
        <v>155</v>
      </c>
      <c r="C59" s="193"/>
      <c r="D59" s="285" t="str">
        <f>IF(OR(D8=0,D13=0,D14=0,D15=0),"-",MAX(-D55+D57,0))</f>
        <v>-</v>
      </c>
      <c r="E59" s="267">
        <f t="shared" ref="E59:L59" si="132">MAX(-E55+E57,0)</f>
        <v>0</v>
      </c>
      <c r="F59" s="307">
        <f t="shared" ref="F59:G59" si="133">MAX(-F55+F57,0)</f>
        <v>0</v>
      </c>
      <c r="G59" s="307">
        <f t="shared" si="133"/>
        <v>0</v>
      </c>
      <c r="H59" s="307">
        <f>MAX(-H55+H57,0)</f>
        <v>0</v>
      </c>
      <c r="I59" s="307">
        <f>MAX(-I55+I57,0)</f>
        <v>0</v>
      </c>
      <c r="J59" s="194">
        <f t="shared" si="132"/>
        <v>0</v>
      </c>
      <c r="K59" s="194">
        <f t="shared" ref="K59" si="134">MAX(-K55+K57,0)</f>
        <v>0</v>
      </c>
      <c r="L59" s="194">
        <f t="shared" si="132"/>
        <v>0</v>
      </c>
      <c r="M59" s="194">
        <f t="shared" ref="M59" si="135">MAX(-M55+M57,0)</f>
        <v>0</v>
      </c>
      <c r="N59" s="194">
        <f>MAX(-N55+N57,0)</f>
        <v>0</v>
      </c>
      <c r="O59" s="194">
        <f t="shared" ref="O59:S59" si="136">MAX(-O55+O57,0)</f>
        <v>0</v>
      </c>
      <c r="P59" s="194">
        <f>MAX(-P55+P57,0)</f>
        <v>0</v>
      </c>
      <c r="Q59" s="194">
        <f t="shared" si="136"/>
        <v>0</v>
      </c>
      <c r="R59" s="194">
        <f t="shared" si="136"/>
        <v>0</v>
      </c>
      <c r="S59" s="194">
        <f t="shared" si="136"/>
        <v>0</v>
      </c>
      <c r="T59" s="104" t="str">
        <f t="shared" si="97"/>
        <v>acumula en batería</v>
      </c>
      <c r="V59" s="22"/>
      <c r="Z59" s="15"/>
      <c r="AA59" s="1"/>
      <c r="AB59" s="2"/>
      <c r="AC59" s="2"/>
      <c r="AD59" s="2"/>
      <c r="AE59" s="2"/>
      <c r="AF59" s="22"/>
      <c r="AG59" s="22"/>
      <c r="AH59" s="22"/>
      <c r="AI59" s="22"/>
      <c r="AJ59" s="22"/>
      <c r="AK59" s="22"/>
      <c r="AL59" s="22"/>
      <c r="AM59" s="22"/>
      <c r="AN59" s="22"/>
      <c r="AO59" s="22"/>
      <c r="AP59" s="22"/>
      <c r="AQ59" s="22"/>
      <c r="AR59" s="22"/>
      <c r="AS59" s="22"/>
      <c r="AT59" s="22"/>
      <c r="AU59" s="22"/>
    </row>
    <row r="60" spans="1:47" ht="15.75" customHeight="1" thickBot="1" x14ac:dyDescent="0.25">
      <c r="A60" s="474"/>
      <c r="B60" s="186" t="s">
        <v>156</v>
      </c>
      <c r="C60" s="105"/>
      <c r="D60" s="286" t="str">
        <f>IFERROR(CONCATENATE(" +",ROUND(D58-MIN($D$58:$Q$58),2),"€ ","(",RANK(D58,$D$58:$S$58,1),"º)"),"")</f>
        <v/>
      </c>
      <c r="E60" s="268" t="str">
        <f t="shared" ref="E60:R60" si="137">CONCATENATE(" +",ROUND(E58-MIN($D$58:$Q$58),2),"€ ","(",RANK(E58,$D$58:$S$58,1),"º)")</f>
        <v xml:space="preserve"> +6,06€ (8º)</v>
      </c>
      <c r="F60" s="308" t="e">
        <f t="shared" si="137"/>
        <v>#VALUE!</v>
      </c>
      <c r="G60" s="308" t="str">
        <f t="shared" si="137"/>
        <v xml:space="preserve"> +7,59€ (11º)</v>
      </c>
      <c r="H60" s="308" t="str">
        <f t="shared" si="137"/>
        <v xml:space="preserve"> +6,11€ (9º)</v>
      </c>
      <c r="I60" s="308" t="str">
        <f t="shared" si="137"/>
        <v xml:space="preserve"> +2,32€ (5º)</v>
      </c>
      <c r="J60" s="106" t="str">
        <f t="shared" si="137"/>
        <v xml:space="preserve"> +0€ (1º)</v>
      </c>
      <c r="K60" s="106" t="str">
        <f t="shared" ref="K60" si="138">CONCATENATE(" +",ROUND(K58-MIN($D$58:$Q$58),2),"€ ","(",RANK(K58,$D$58:$S$58,1),"º)")</f>
        <v xml:space="preserve"> +0,1€ (2º)</v>
      </c>
      <c r="L60" s="106" t="str">
        <f t="shared" si="137"/>
        <v xml:space="preserve"> +11,35€ (13º)</v>
      </c>
      <c r="M60" s="106" t="str">
        <f t="shared" si="137"/>
        <v xml:space="preserve"> +1,55€ (4º)</v>
      </c>
      <c r="N60" s="106" t="str">
        <f t="shared" si="137"/>
        <v xml:space="preserve"> +6,64€ (10º)</v>
      </c>
      <c r="O60" s="106" t="str">
        <f t="shared" si="137"/>
        <v xml:space="preserve"> +7,8€ (12º)</v>
      </c>
      <c r="P60" s="106" t="str">
        <f t="shared" si="137"/>
        <v xml:space="preserve"> +4,74€ (7º)</v>
      </c>
      <c r="Q60" s="106" t="str">
        <f t="shared" si="137"/>
        <v xml:space="preserve"> +0,69€ (3º)</v>
      </c>
      <c r="R60" s="106" t="str">
        <f t="shared" si="137"/>
        <v xml:space="preserve"> +17,93€ (14º)</v>
      </c>
      <c r="S60" s="106" t="str">
        <f>CONCATENATE(" ",ROUND(S58-MIN($D$58:$Q$58),2),"€ ","(",RANK(S58,$D$58:$S$58,1),"º)")</f>
        <v xml:space="preserve"> 3,82€ (6º)</v>
      </c>
      <c r="T60" s="248" t="str">
        <f>CONCATENATE( ROUND(((S27+S28+C33*T18+S48)*1.0511+S50)*(1+IVAact),2),"€"," aprox PVPC promediando últimos 12 meses")</f>
        <v>49,9€ aprox PVPC promediando últimos 12 meses</v>
      </c>
      <c r="V60" s="22"/>
      <c r="Z60" s="15"/>
      <c r="AA60" s="1"/>
      <c r="AB60" s="2"/>
      <c r="AC60" s="2"/>
      <c r="AD60" s="2"/>
      <c r="AE60" s="2"/>
      <c r="AF60" s="22"/>
      <c r="AG60" s="22"/>
      <c r="AH60" s="22"/>
      <c r="AI60" s="22"/>
      <c r="AJ60" s="22"/>
      <c r="AK60" s="22"/>
      <c r="AL60" s="22"/>
      <c r="AM60" s="22"/>
      <c r="AN60" s="22"/>
      <c r="AO60" s="22"/>
      <c r="AP60" s="22"/>
      <c r="AQ60" s="22"/>
      <c r="AR60" s="22"/>
      <c r="AS60" s="22"/>
      <c r="AT60" s="22"/>
      <c r="AU60" s="22"/>
    </row>
    <row r="61" spans="1:47" s="22" customFormat="1" ht="61.5" customHeight="1" thickTop="1" thickBot="1" x14ac:dyDescent="0.25">
      <c r="A61" s="210"/>
      <c r="B61" s="467" t="s">
        <v>157</v>
      </c>
      <c r="C61" s="468"/>
      <c r="D61" s="287" t="str">
        <f>CONCATENATE(D2," ",D3)</f>
        <v>PERSONALIZADA Tarifas contratadas hace tiempo o que no estén</v>
      </c>
      <c r="E61" s="269" t="str">
        <f>IF(E56=1,"SUPERAS LOS "&amp;E22&amp;" kWh AL AÑO ","")&amp;CONCATENATE(E2," ",E3)</f>
        <v>OCTOPUS SUN CLUB</v>
      </c>
      <c r="F61" s="269" t="str">
        <f>IF(F56=1,"SUPERAS LOS "&amp;F22&amp;" kWh/kW AL AÑO ","")&amp;CONCATENATE(F2," ",F3)</f>
        <v>ESLUZ SOLAR FIJA 2.0</v>
      </c>
      <c r="G61" s="269" t="str">
        <f>IF(G56=1,"SUPERAS LOS "&amp;G22&amp;" kWh/kW AL AÑO ","")&amp;CONCATENATE(G2," ",G3)</f>
        <v>SUPERAS LOS 750 kWh/kW AL AÑO NUFRI Flex</v>
      </c>
      <c r="H61" s="269" t="str">
        <f t="shared" ref="H61" si="139">IF(H56=1,"SUPERAS LOS "&amp;H22&amp;" kWh AL AÑO ","")&amp;CONCATENATE(H2," ",H3)</f>
        <v>IMAGINA Tarifa base. Sin horas</v>
      </c>
      <c r="I61" s="269" t="str">
        <f t="shared" ref="I61:R61" si="140">IF(I56=1,"SUPERAS LOS "&amp;I22&amp;" kWh AL AÑO ","")&amp;CONCATENATE(I2," ",I3)</f>
        <v>IMAGINA Tarifa base. Noches y findes</v>
      </c>
      <c r="J61" s="269" t="str">
        <f t="shared" si="140"/>
        <v xml:space="preserve">Doméstica-Visalia Luz Fijo 24h </v>
      </c>
      <c r="K61" s="269" t="str">
        <f t="shared" ref="K61" si="141">IF(K56=1,"SUPERAS LOS "&amp;K22&amp;" kWh AL AÑO ","")&amp;CONCATENATE(K2," ",K3)</f>
        <v>Doméstica-Visalia Luz 3 periodos</v>
      </c>
      <c r="L61" s="269" t="str">
        <f t="shared" si="140"/>
        <v>REPSOL Ahorro Plus</v>
      </c>
      <c r="M61" s="269" t="str">
        <f t="shared" si="140"/>
        <v>Enérgya VM Formula Fija 3p</v>
      </c>
      <c r="N61" s="269" t="str">
        <f t="shared" si="140"/>
        <v>Iberdrola Plan Online 3 periodos</v>
      </c>
      <c r="O61" s="269" t="str">
        <f t="shared" si="140"/>
        <v>Naturgy Noche</v>
      </c>
      <c r="P61" s="269" t="str">
        <f t="shared" si="140"/>
        <v>Endesa Conecta 3 periodos</v>
      </c>
      <c r="Q61" s="269" t="str">
        <f t="shared" si="140"/>
        <v>Total Energies A tu aire Ahorro</v>
      </c>
      <c r="R61" s="269" t="str">
        <f t="shared" si="140"/>
        <v>CHC energía PLAN VEHICULO ELECTRICO</v>
      </c>
      <c r="S61" s="157" t="str">
        <f>CONCATENATE(S2," ",S3)</f>
        <v>COMERCIALIZADORAS DE REFERENCIA PVPC-REGULADO (semiindexada horaria)</v>
      </c>
      <c r="T61" s="503" t="s">
        <v>158</v>
      </c>
      <c r="Z61" s="15"/>
      <c r="AA61" s="1"/>
      <c r="AB61" s="2"/>
      <c r="AC61" s="2"/>
      <c r="AD61" s="10"/>
      <c r="AE61" s="2"/>
    </row>
    <row r="62" spans="1:47" ht="172.5" customHeight="1" thickTop="1" thickBot="1" x14ac:dyDescent="0.25">
      <c r="A62" s="19"/>
      <c r="B62" s="465" t="str">
        <f>CONCATENATE("1ª. "&amp;INDEX($D$58:$S$61,4,MATCH((SMALL($D$58:$S$58,1)),$D$58:$S$58,0))&amp;":",CHAR(10),"€"&amp;ROUND(SMALL($D$58:$S$58,1),2),CHAR(10)&amp;CHAR(10),"2º."&amp;INDEX($D$58:$S$61,4,MATCH(SMALL($D$58:$S$58,2),$D$58:$S$58,0))&amp;":",CHAR(10),"€"&amp;ROUND(SMALL($D$58:$S$58,2),2)&amp;CHAR(10)&amp;CHAR(10)&amp;"3º."&amp;INDEX($D$58:$S$61,4,MATCH(SMALL($D$58:$S$58,3),$D$58:$S$58,0)),":",CHAR(10),"€",ROUND(SMALL($D$58:$S$58,3),2))</f>
        <v>1ª. Doméstica-Visalia Luz Fijo 24h :
€42,74
2º.Doméstica-Visalia Luz 3 periodos:
€42,83
3º.Total Energies A tu aire Ahorro:
€43,43</v>
      </c>
      <c r="C62" s="466"/>
      <c r="D62" s="288"/>
      <c r="E62" s="270" t="str">
        <f>CONCATENATE("Comentarios:",CHAR(10),E20,CHAR(10),E21,CHAR(10),E22)</f>
        <v xml:space="preserve">Comentarios:
* Precio kWh estimativo. Es facil obtener media de 0,11
Admite referidos 50€
</v>
      </c>
      <c r="F62" s="309" t="str">
        <f>CONCATENATE("Comentarios:",CHAR(10),F20,CHAR(10),F21,CHAR(10),F22)</f>
        <v xml:space="preserve">Comentarios:
Quejas por Lentitud (+30 dias)
Se supone que compensa BV antes de impuestos
</v>
      </c>
      <c r="G62" s="309" t="str">
        <f>CONCATENATE("Comentarios:",CHAR(10),G20,CHAR(10),G21,CHAR(10),G22)</f>
        <v>Comentarios:
Σxcedente Horario * (OMIE - 0,005 €/KWh) 
Si se excede un ratio de 750kWh anuales por cada kW potencia, rechazan
750</v>
      </c>
      <c r="H62" s="309" t="str">
        <f>CONCATENATE("Comentarios:",CHAR(10),H20,CHAR(10),H21,CHAR(10),H22)</f>
        <v xml:space="preserve">Comentarios:
Tiene referidos aunque sólo dan €€ al antiguo en la compañía y nada al nuevo
</v>
      </c>
      <c r="I62" s="309" t="str">
        <f>CONCATENATE("Comentarios:",CHAR(10),I20,CHAR(10),I21,CHAR(10),I22)</f>
        <v xml:space="preserve">Comentarios:
Tiene referidos aunque sólo dan €€ al antiguo en la compañía y nada al nuevo
</v>
      </c>
      <c r="J62" s="197" t="str">
        <f t="shared" ref="J62:O62" si="142">CONCATENATE("Comentarios:",CHAR(10),J20,CHAR(10),J21,CHAR(10),J22)</f>
        <v xml:space="preserve">Comentarios:
</v>
      </c>
      <c r="K62" s="197" t="str">
        <f t="shared" ref="K62" si="143">CONCATENATE("Comentarios:",CHAR(10),K20,CHAR(10),K21,CHAR(10),K22)</f>
        <v xml:space="preserve">Comentarios:
</v>
      </c>
      <c r="L62" s="197" t="str">
        <f t="shared" si="142"/>
        <v xml:space="preserve">Comentarios:
</v>
      </c>
      <c r="M62" s="197" t="str">
        <f t="shared" ref="M62" si="144">CONCATENATE("Comentarios:",CHAR(10),M20,CHAR(10),M21,CHAR(10),M22)</f>
        <v>Comentarios:
Nuevos clientes
5000</v>
      </c>
      <c r="N62" s="197" t="str">
        <f t="shared" si="142"/>
        <v xml:space="preserve">Comentarios:
Excedentes a 0,03€kWh con Solar Cloud
Pot&gt;10kW permanencia
</v>
      </c>
      <c r="O62" s="197" t="str">
        <f t="shared" si="142"/>
        <v>Comentarios:
excedentes en todas las tarifas
10000</v>
      </c>
      <c r="P62" s="197" t="s">
        <v>159</v>
      </c>
      <c r="Q62" s="197" t="str">
        <f>CONCATENATE("Comentarios:",CHAR(10),Q20,CHAR(10),Q21,CHAR(10),Q22)</f>
        <v xml:space="preserve">Comentarios:
Nuevos clientes / Recuerda activar el D+ / 5€ - 6 meses
Ya aviso ahora: el TOTAL de FACTURA ya tiene quitado la oferta de 5€ (6 meses)
</v>
      </c>
      <c r="R62" s="197" t="str">
        <f>CONCATENATE("Comentarios:",CHAR(10),R20,CHAR(10),R21,CHAR(10),R22)</f>
        <v xml:space="preserve">Comentarios:
D
no hace falta coche eléctrico. Cualquier tarifa del excel vale y renta para coche electrico
</v>
      </c>
      <c r="S62" s="197" t="str">
        <f>CONCATENATE("Comentarios:",CHAR(10),S20,CHAR(10),S21,CHAR(10),S22)</f>
        <v xml:space="preserve">Comentarios:
Σxcedente Horario * OMIE. 
###  No se aconseja debido al conflicto de Irán ###
</v>
      </c>
      <c r="T62" s="504"/>
      <c r="V62" s="22"/>
      <c r="Z62" s="15"/>
      <c r="AA62" s="1"/>
      <c r="AB62" s="2"/>
      <c r="AC62" s="2"/>
      <c r="AD62" s="10"/>
      <c r="AE62" s="2"/>
      <c r="AF62" s="22"/>
      <c r="AG62" s="22"/>
      <c r="AH62" s="22"/>
      <c r="AI62" s="22"/>
      <c r="AJ62" s="22"/>
      <c r="AK62" s="22"/>
      <c r="AL62" s="22"/>
      <c r="AM62" s="22"/>
      <c r="AN62" s="22"/>
      <c r="AO62" s="22"/>
      <c r="AP62" s="22"/>
      <c r="AQ62" s="22"/>
      <c r="AR62" s="22"/>
      <c r="AS62" s="22"/>
      <c r="AT62" s="22"/>
      <c r="AU62" s="22"/>
    </row>
    <row r="63" spans="1:47" ht="15.75" customHeight="1" x14ac:dyDescent="0.2">
      <c r="A63" s="114"/>
      <c r="B63" s="462" t="s">
        <v>160</v>
      </c>
      <c r="C63" s="462"/>
      <c r="D63" s="454" t="s">
        <v>161</v>
      </c>
      <c r="E63" s="455"/>
      <c r="F63" s="455"/>
      <c r="G63" s="455"/>
      <c r="H63" s="455"/>
      <c r="I63" s="455"/>
      <c r="J63" s="455"/>
      <c r="K63" s="455"/>
      <c r="L63" s="455"/>
      <c r="M63" s="455"/>
      <c r="N63" s="455"/>
      <c r="O63" s="455"/>
      <c r="P63" s="455"/>
      <c r="Q63" s="455"/>
      <c r="R63" s="455"/>
      <c r="S63" s="58"/>
      <c r="T63" s="22"/>
      <c r="V63" s="22"/>
      <c r="Z63" s="15"/>
      <c r="AA63" s="1"/>
      <c r="AB63" s="2"/>
      <c r="AC63" s="2"/>
      <c r="AD63" s="10"/>
      <c r="AE63" s="2"/>
      <c r="AF63" s="22"/>
      <c r="AG63" s="22"/>
      <c r="AH63" s="22"/>
      <c r="AI63" s="22"/>
      <c r="AJ63" s="22"/>
      <c r="AK63" s="22"/>
      <c r="AL63" s="22"/>
      <c r="AM63" s="22"/>
      <c r="AN63" s="22"/>
      <c r="AO63" s="22"/>
      <c r="AP63" s="22"/>
      <c r="AQ63" s="22"/>
      <c r="AR63" s="22"/>
      <c r="AS63" s="22"/>
      <c r="AT63" s="22"/>
      <c r="AU63" s="22"/>
    </row>
    <row r="64" spans="1:47" ht="15.75" customHeight="1" x14ac:dyDescent="0.2">
      <c r="A64" s="22"/>
      <c r="B64" s="4"/>
      <c r="C64" s="2"/>
      <c r="D64" s="3"/>
      <c r="E64" s="3"/>
      <c r="F64" s="3"/>
      <c r="G64" s="3"/>
      <c r="H64" s="3"/>
      <c r="I64" s="3"/>
      <c r="J64" s="3"/>
      <c r="K64" s="3"/>
      <c r="L64" s="3"/>
      <c r="M64" s="3"/>
      <c r="N64" s="3"/>
      <c r="O64" s="3"/>
      <c r="P64" s="22"/>
      <c r="Q64" s="22"/>
      <c r="S64" s="22"/>
      <c r="T64" s="22"/>
      <c r="V64" s="22"/>
      <c r="Z64" s="15"/>
      <c r="AA64" s="1"/>
      <c r="AB64" s="2"/>
      <c r="AC64" s="2"/>
      <c r="AD64" s="10"/>
      <c r="AE64" s="2"/>
      <c r="AF64" s="22"/>
      <c r="AG64" s="22"/>
      <c r="AH64" s="22"/>
      <c r="AI64" s="22"/>
      <c r="AJ64" s="22"/>
      <c r="AK64" s="22"/>
      <c r="AL64" s="22"/>
      <c r="AM64" s="22"/>
      <c r="AN64" s="22"/>
      <c r="AO64" s="22"/>
      <c r="AP64" s="22"/>
      <c r="AQ64" s="22"/>
      <c r="AR64" s="22"/>
      <c r="AS64" s="22"/>
      <c r="AT64" s="22"/>
      <c r="AU64" s="22"/>
    </row>
    <row r="65" spans="1:47" ht="15.75" customHeight="1" x14ac:dyDescent="0.2">
      <c r="A65" s="22"/>
      <c r="B65" s="13" t="b">
        <v>0</v>
      </c>
      <c r="C65" s="2"/>
      <c r="D65" s="2"/>
      <c r="E65" s="2"/>
      <c r="F65" s="2"/>
      <c r="G65" s="2"/>
      <c r="H65" s="2"/>
      <c r="I65" s="2"/>
      <c r="J65" s="2"/>
      <c r="K65" s="2"/>
      <c r="L65" s="2"/>
      <c r="N65" s="2"/>
      <c r="O65" s="2"/>
      <c r="P65" s="22"/>
      <c r="Q65" s="22"/>
      <c r="S65" s="22"/>
      <c r="T65" s="22"/>
      <c r="V65" s="22"/>
      <c r="Z65" s="15"/>
      <c r="AA65" s="1"/>
      <c r="AB65" s="2"/>
      <c r="AC65" s="2"/>
      <c r="AD65" s="10"/>
      <c r="AE65" s="2"/>
      <c r="AF65" s="22"/>
      <c r="AG65" s="22"/>
      <c r="AH65" s="22"/>
      <c r="AI65" s="22"/>
      <c r="AJ65" s="22"/>
      <c r="AK65" s="22"/>
      <c r="AL65" s="22"/>
      <c r="AM65" s="22"/>
      <c r="AN65" s="22"/>
      <c r="AO65" s="22"/>
      <c r="AP65" s="22"/>
      <c r="AQ65" s="22"/>
      <c r="AR65" s="22"/>
      <c r="AS65" s="22"/>
      <c r="AT65" s="22"/>
      <c r="AU65" s="22"/>
    </row>
    <row r="66" spans="1:47" ht="15.75" customHeight="1" x14ac:dyDescent="0.2">
      <c r="A66" s="22"/>
      <c r="B66" s="16">
        <f>IF(B65=FALSE,1,2)</f>
        <v>1</v>
      </c>
      <c r="C66" s="1"/>
      <c r="D66" s="1"/>
      <c r="E66" s="2"/>
      <c r="F66" s="2"/>
      <c r="G66" s="2"/>
      <c r="H66" s="2"/>
      <c r="I66" s="2"/>
      <c r="J66" s="1"/>
      <c r="K66" s="1"/>
      <c r="L66" s="1"/>
      <c r="M66" s="1"/>
      <c r="N66" s="1"/>
      <c r="O66" s="1"/>
      <c r="P66" s="22"/>
      <c r="Q66" s="22"/>
      <c r="S66" s="22"/>
      <c r="T66" s="22"/>
      <c r="V66" s="22"/>
      <c r="Z66" s="15"/>
      <c r="AA66" s="1"/>
      <c r="AB66" s="2"/>
      <c r="AC66" s="2"/>
      <c r="AD66" s="2"/>
      <c r="AE66" s="2"/>
      <c r="AF66" s="22"/>
      <c r="AG66" s="22"/>
      <c r="AH66" s="22"/>
      <c r="AI66" s="22"/>
      <c r="AJ66" s="22"/>
      <c r="AK66" s="22"/>
      <c r="AL66" s="22"/>
      <c r="AM66" s="22"/>
      <c r="AN66" s="22"/>
      <c r="AO66" s="22"/>
      <c r="AP66" s="22"/>
      <c r="AQ66" s="22"/>
      <c r="AR66" s="22"/>
      <c r="AS66" s="22"/>
      <c r="AT66" s="22"/>
      <c r="AU66" s="22"/>
    </row>
    <row r="67" spans="1:47" ht="15.75" customHeight="1" x14ac:dyDescent="0.2">
      <c r="A67" s="22"/>
      <c r="B67" s="1"/>
      <c r="C67" s="1"/>
      <c r="D67" s="1"/>
      <c r="E67" s="2"/>
      <c r="F67" s="2"/>
      <c r="G67" s="2"/>
      <c r="H67" s="2"/>
      <c r="I67" s="2"/>
      <c r="J67" s="1"/>
      <c r="K67" s="1"/>
      <c r="L67" s="1"/>
      <c r="M67" s="1"/>
      <c r="N67" s="1"/>
      <c r="O67" s="1"/>
      <c r="P67" s="22"/>
      <c r="Q67" s="22"/>
      <c r="S67" s="22"/>
      <c r="T67" s="22"/>
      <c r="V67" s="22"/>
      <c r="Z67" s="15"/>
      <c r="AA67" s="1"/>
      <c r="AB67" s="2"/>
      <c r="AC67" s="2"/>
      <c r="AD67" s="2"/>
      <c r="AE67" s="2"/>
      <c r="AF67" s="22"/>
      <c r="AG67" s="22"/>
      <c r="AH67" s="22"/>
      <c r="AI67" s="22"/>
      <c r="AJ67" s="22"/>
      <c r="AK67" s="22"/>
      <c r="AL67" s="22"/>
      <c r="AM67" s="22"/>
      <c r="AN67" s="22"/>
      <c r="AO67" s="22"/>
      <c r="AP67" s="22"/>
      <c r="AQ67" s="22"/>
      <c r="AR67" s="22"/>
      <c r="AS67" s="22"/>
      <c r="AT67" s="22"/>
      <c r="AU67" s="22"/>
    </row>
    <row r="68" spans="1:47" ht="15.75" customHeight="1" x14ac:dyDescent="0.2">
      <c r="A68" s="22"/>
      <c r="B68" s="1"/>
      <c r="C68" s="1"/>
      <c r="D68" s="1"/>
      <c r="E68" s="1"/>
      <c r="F68" s="1"/>
      <c r="G68" s="1"/>
      <c r="H68" s="1"/>
      <c r="I68" s="1"/>
      <c r="J68" s="1"/>
      <c r="K68" s="1"/>
      <c r="L68" s="1"/>
      <c r="M68" s="1"/>
      <c r="N68" s="1"/>
      <c r="O68" s="1"/>
      <c r="P68" s="22"/>
      <c r="Q68" s="22"/>
      <c r="S68" s="22"/>
      <c r="T68" s="22"/>
      <c r="V68" s="22"/>
      <c r="Z68" s="15"/>
      <c r="AA68" s="1"/>
      <c r="AB68" s="2"/>
      <c r="AC68" s="2"/>
      <c r="AD68" s="1"/>
      <c r="AE68" s="1"/>
      <c r="AF68" s="22"/>
      <c r="AG68" s="22"/>
      <c r="AH68" s="22"/>
      <c r="AI68" s="22"/>
      <c r="AJ68" s="22"/>
      <c r="AK68" s="22"/>
      <c r="AL68" s="22"/>
      <c r="AM68" s="22"/>
      <c r="AN68" s="22"/>
      <c r="AO68" s="22"/>
      <c r="AP68" s="22"/>
      <c r="AQ68" s="22"/>
      <c r="AR68" s="22"/>
      <c r="AS68" s="22"/>
      <c r="AT68" s="22"/>
      <c r="AU68" s="22"/>
    </row>
    <row r="69" spans="1:47" ht="15.75" customHeight="1" x14ac:dyDescent="0.2">
      <c r="A69" s="19" t="s">
        <v>85</v>
      </c>
      <c r="B69" s="1"/>
      <c r="C69" s="1"/>
      <c r="D69" s="1"/>
      <c r="E69" s="1"/>
      <c r="F69" s="1"/>
      <c r="G69" s="1"/>
      <c r="H69" s="1"/>
      <c r="I69" s="1"/>
      <c r="J69" s="1"/>
      <c r="K69" s="1"/>
      <c r="L69" s="1"/>
      <c r="M69" s="1"/>
      <c r="N69" s="1"/>
      <c r="O69" s="1"/>
      <c r="P69" s="22"/>
      <c r="Q69" s="22"/>
      <c r="S69" s="22"/>
      <c r="T69" s="22"/>
      <c r="V69" s="22"/>
      <c r="Z69" s="15"/>
      <c r="AA69" s="1"/>
      <c r="AB69" s="2"/>
      <c r="AC69" s="2"/>
      <c r="AD69" s="1"/>
      <c r="AE69" s="1"/>
      <c r="AF69" s="22"/>
      <c r="AG69" s="22"/>
      <c r="AH69" s="22"/>
      <c r="AI69" s="22"/>
      <c r="AJ69" s="22"/>
      <c r="AK69" s="22"/>
      <c r="AL69" s="22"/>
      <c r="AM69" s="22"/>
      <c r="AN69" s="22"/>
      <c r="AO69" s="22"/>
      <c r="AP69" s="22"/>
      <c r="AQ69" s="22"/>
      <c r="AR69" s="22"/>
      <c r="AS69" s="22"/>
      <c r="AT69" s="22"/>
      <c r="AU69" s="22"/>
    </row>
    <row r="70" spans="1:47" ht="15.75" customHeight="1" x14ac:dyDescent="0.2">
      <c r="A70" s="19" t="s">
        <v>87</v>
      </c>
      <c r="B70" s="1"/>
      <c r="C70" s="1"/>
      <c r="D70" s="1"/>
      <c r="E70" s="1"/>
      <c r="F70" s="1"/>
      <c r="G70" s="1"/>
      <c r="H70" s="1"/>
      <c r="I70" s="1"/>
      <c r="J70" s="1"/>
      <c r="K70" s="1"/>
      <c r="L70" s="1"/>
      <c r="M70" s="1"/>
      <c r="N70" s="1"/>
      <c r="O70" s="1"/>
      <c r="P70" s="22"/>
      <c r="Q70" s="22"/>
      <c r="S70" s="22"/>
      <c r="T70" s="22"/>
      <c r="V70" s="22"/>
      <c r="Z70" s="15"/>
      <c r="AA70" s="1"/>
      <c r="AB70" s="2"/>
      <c r="AC70" s="2"/>
      <c r="AD70" s="1"/>
      <c r="AE70" s="1"/>
      <c r="AF70" s="22"/>
      <c r="AG70" s="22"/>
      <c r="AH70" s="22"/>
      <c r="AI70" s="22"/>
      <c r="AJ70" s="22"/>
      <c r="AK70" s="22"/>
      <c r="AL70" s="22"/>
      <c r="AM70" s="22"/>
      <c r="AN70" s="22"/>
      <c r="AO70" s="22"/>
      <c r="AP70" s="22"/>
      <c r="AQ70" s="22"/>
      <c r="AR70" s="22"/>
      <c r="AS70" s="22"/>
      <c r="AT70" s="22"/>
      <c r="AU70" s="22"/>
    </row>
    <row r="71" spans="1:47" ht="15.75" customHeight="1" x14ac:dyDescent="0.2">
      <c r="A71" s="19" t="s">
        <v>88</v>
      </c>
      <c r="B71" s="5"/>
      <c r="C71" s="5"/>
      <c r="D71" s="6"/>
      <c r="E71" s="6"/>
      <c r="F71" s="6"/>
      <c r="G71" s="6"/>
      <c r="H71" s="6"/>
      <c r="I71" s="6"/>
      <c r="J71" s="6"/>
      <c r="K71" s="6"/>
      <c r="L71" s="6"/>
      <c r="M71" s="6"/>
      <c r="N71" s="6"/>
      <c r="O71" s="6"/>
      <c r="P71" s="22"/>
      <c r="Q71" s="22"/>
      <c r="S71" s="22"/>
      <c r="T71" s="22"/>
      <c r="V71" s="22"/>
      <c r="Z71" s="15"/>
      <c r="AA71" s="1"/>
      <c r="AB71" s="2"/>
      <c r="AC71" s="2"/>
      <c r="AD71" s="2"/>
      <c r="AE71" s="1"/>
      <c r="AF71" s="22"/>
      <c r="AG71" s="22"/>
      <c r="AH71" s="22"/>
      <c r="AI71" s="22"/>
      <c r="AJ71" s="22"/>
      <c r="AK71" s="22"/>
      <c r="AL71" s="22"/>
      <c r="AM71" s="22"/>
      <c r="AN71" s="22"/>
      <c r="AO71" s="22"/>
      <c r="AP71" s="22"/>
      <c r="AQ71" s="22"/>
      <c r="AR71" s="22"/>
      <c r="AS71" s="22"/>
      <c r="AT71" s="22"/>
      <c r="AU71" s="22"/>
    </row>
    <row r="72" spans="1:47" ht="15.75" customHeight="1" x14ac:dyDescent="0.2">
      <c r="A72" s="19" t="s">
        <v>86</v>
      </c>
      <c r="B72" s="5"/>
      <c r="C72" s="5"/>
      <c r="D72" s="5"/>
      <c r="E72" s="5"/>
      <c r="F72" s="5"/>
      <c r="G72" s="5"/>
      <c r="H72" s="5"/>
      <c r="I72" s="5"/>
      <c r="J72" s="5"/>
      <c r="K72" s="5"/>
      <c r="L72" s="5"/>
      <c r="M72" s="5"/>
      <c r="N72" s="5"/>
      <c r="O72" s="5"/>
      <c r="P72" s="22"/>
      <c r="Q72" s="22"/>
      <c r="S72" s="22"/>
      <c r="T72" s="22"/>
      <c r="V72" s="22"/>
      <c r="Z72" s="1"/>
      <c r="AA72" s="2"/>
      <c r="AB72" s="2"/>
      <c r="AC72" s="2"/>
      <c r="AD72" s="2"/>
      <c r="AE72" s="1"/>
      <c r="AF72" s="22"/>
      <c r="AG72" s="22"/>
      <c r="AH72" s="22"/>
      <c r="AI72" s="22"/>
      <c r="AJ72" s="22"/>
      <c r="AK72" s="22"/>
      <c r="AL72" s="22"/>
      <c r="AM72" s="22"/>
      <c r="AN72" s="22"/>
      <c r="AO72" s="22"/>
      <c r="AP72" s="22"/>
      <c r="AQ72" s="22"/>
      <c r="AR72" s="22"/>
      <c r="AS72" s="22"/>
      <c r="AT72" s="22"/>
      <c r="AU72" s="22"/>
    </row>
    <row r="73" spans="1:47" ht="15.75" customHeight="1" x14ac:dyDescent="0.2">
      <c r="A73" s="22"/>
      <c r="B73" s="6"/>
      <c r="C73" s="6"/>
      <c r="D73" s="6"/>
      <c r="E73" s="6"/>
      <c r="F73" s="6"/>
      <c r="G73" s="6"/>
      <c r="H73" s="6"/>
      <c r="I73" s="6"/>
      <c r="J73" s="6"/>
      <c r="K73" s="6"/>
      <c r="L73" s="6"/>
      <c r="M73" s="6"/>
      <c r="N73" s="6"/>
      <c r="O73" s="6"/>
      <c r="P73" s="22"/>
      <c r="Q73" s="22"/>
      <c r="S73" s="22"/>
      <c r="T73" s="22"/>
      <c r="V73" s="22"/>
      <c r="Z73" s="1"/>
      <c r="AA73" s="2"/>
      <c r="AB73" s="2"/>
      <c r="AC73" s="2"/>
      <c r="AD73" s="2"/>
      <c r="AE73" s="1"/>
      <c r="AF73" s="22"/>
      <c r="AG73" s="22"/>
      <c r="AH73" s="22"/>
      <c r="AI73" s="22"/>
      <c r="AJ73" s="22"/>
      <c r="AK73" s="22"/>
      <c r="AL73" s="22"/>
      <c r="AM73" s="22"/>
      <c r="AN73" s="22"/>
      <c r="AO73" s="22"/>
      <c r="AP73" s="22"/>
      <c r="AQ73" s="22"/>
      <c r="AR73" s="22"/>
      <c r="AS73" s="22"/>
      <c r="AT73" s="22"/>
      <c r="AU73" s="22"/>
    </row>
    <row r="74" spans="1:47" ht="15.75" customHeight="1" x14ac:dyDescent="0.2">
      <c r="A74" s="22"/>
      <c r="B74" s="5"/>
      <c r="C74" s="5"/>
      <c r="D74" s="6"/>
      <c r="E74" s="6"/>
      <c r="F74" s="6"/>
      <c r="G74" s="6"/>
      <c r="H74" s="6"/>
      <c r="I74" s="6"/>
      <c r="J74" s="6"/>
      <c r="K74" s="6"/>
      <c r="L74" s="6"/>
      <c r="M74" s="6"/>
      <c r="N74" s="6"/>
      <c r="O74" s="6"/>
      <c r="P74" s="22"/>
      <c r="Q74" s="22"/>
      <c r="S74" s="22"/>
      <c r="T74" s="22"/>
      <c r="U74" s="1"/>
      <c r="V74" s="22"/>
      <c r="Z74" s="1"/>
      <c r="AA74" s="2"/>
      <c r="AB74" s="2"/>
      <c r="AC74" s="2"/>
      <c r="AD74" s="2"/>
      <c r="AE74" s="1"/>
      <c r="AF74" s="22"/>
      <c r="AG74" s="22"/>
      <c r="AH74" s="22"/>
      <c r="AI74" s="22"/>
      <c r="AJ74" s="22"/>
      <c r="AK74" s="22"/>
      <c r="AL74" s="22"/>
      <c r="AM74" s="22"/>
      <c r="AN74" s="22"/>
      <c r="AO74" s="22"/>
      <c r="AP74" s="22"/>
      <c r="AQ74" s="22"/>
      <c r="AR74" s="22"/>
      <c r="AS74" s="22"/>
      <c r="AT74" s="22"/>
      <c r="AU74" s="22"/>
    </row>
    <row r="75" spans="1:47" ht="15.75" customHeight="1" x14ac:dyDescent="0.2">
      <c r="A75" s="22"/>
      <c r="B75" s="6"/>
      <c r="C75" s="5"/>
      <c r="D75" s="6"/>
      <c r="E75" s="6"/>
      <c r="F75" s="6"/>
      <c r="G75" s="6"/>
      <c r="H75" s="6"/>
      <c r="I75" s="6"/>
      <c r="J75" s="6"/>
      <c r="K75" s="6"/>
      <c r="L75" s="6"/>
      <c r="M75" s="6"/>
      <c r="N75" s="6"/>
      <c r="O75" s="6"/>
      <c r="P75" s="22"/>
      <c r="Q75" s="22"/>
      <c r="S75" s="22"/>
      <c r="T75" s="22"/>
      <c r="U75" s="1"/>
      <c r="V75" s="22"/>
      <c r="Z75" s="1"/>
      <c r="AA75" s="2"/>
      <c r="AB75" s="2"/>
      <c r="AC75" s="2"/>
      <c r="AD75" s="2"/>
      <c r="AE75" s="1"/>
      <c r="AF75" s="22"/>
      <c r="AG75" s="22"/>
      <c r="AH75" s="22"/>
      <c r="AI75" s="22"/>
      <c r="AJ75" s="22"/>
      <c r="AK75" s="22"/>
      <c r="AL75" s="22"/>
      <c r="AM75" s="22"/>
      <c r="AN75" s="22"/>
      <c r="AO75" s="22"/>
      <c r="AP75" s="22"/>
      <c r="AQ75" s="22"/>
      <c r="AR75" s="22"/>
      <c r="AS75" s="22"/>
      <c r="AT75" s="22"/>
      <c r="AU75" s="22"/>
    </row>
    <row r="76" spans="1:47" ht="15.75" customHeight="1" x14ac:dyDescent="0.2">
      <c r="A76" s="22"/>
      <c r="B76" s="6"/>
      <c r="C76" s="1"/>
      <c r="D76" s="1"/>
      <c r="E76" s="1"/>
      <c r="F76" s="1"/>
      <c r="G76" s="1"/>
      <c r="H76" s="1"/>
      <c r="I76" s="1"/>
      <c r="J76" s="1"/>
      <c r="K76" s="1"/>
      <c r="L76" s="1"/>
      <c r="M76" s="1"/>
      <c r="N76" s="1"/>
      <c r="O76" s="1"/>
      <c r="P76" s="22"/>
      <c r="Q76" s="22"/>
      <c r="S76" s="22"/>
      <c r="T76" s="22"/>
      <c r="U76" s="1"/>
      <c r="V76" s="22"/>
      <c r="Z76" s="1"/>
      <c r="AA76" s="2"/>
      <c r="AB76" s="2"/>
      <c r="AC76" s="2"/>
      <c r="AD76" s="2"/>
      <c r="AE76" s="1"/>
      <c r="AF76" s="22"/>
      <c r="AG76" s="22"/>
      <c r="AH76" s="22"/>
      <c r="AI76" s="22"/>
      <c r="AJ76" s="22"/>
      <c r="AK76" s="22"/>
      <c r="AL76" s="22"/>
      <c r="AM76" s="22"/>
      <c r="AN76" s="22"/>
      <c r="AO76" s="22"/>
      <c r="AP76" s="22"/>
      <c r="AQ76" s="22"/>
      <c r="AR76" s="22"/>
      <c r="AS76" s="22"/>
      <c r="AT76" s="22"/>
      <c r="AU76" s="22"/>
    </row>
    <row r="77" spans="1:47" ht="15.75" customHeight="1" x14ac:dyDescent="0.2">
      <c r="A77" s="22"/>
      <c r="B77" s="6"/>
      <c r="C77" s="5"/>
      <c r="D77" s="6"/>
      <c r="E77" s="6"/>
      <c r="F77" s="6"/>
      <c r="G77" s="6"/>
      <c r="H77" s="6"/>
      <c r="I77" s="6"/>
      <c r="J77" s="6"/>
      <c r="K77" s="6"/>
      <c r="L77" s="6"/>
      <c r="M77" s="6"/>
      <c r="N77" s="6"/>
      <c r="O77" s="6"/>
      <c r="P77" s="22"/>
      <c r="Q77" s="22"/>
      <c r="S77" s="22"/>
      <c r="T77" s="22"/>
      <c r="U77" s="1"/>
      <c r="V77" s="22"/>
      <c r="Z77" s="1"/>
      <c r="AA77" s="1"/>
      <c r="AB77" s="2"/>
      <c r="AC77" s="2"/>
      <c r="AD77" s="2"/>
      <c r="AE77" s="1"/>
      <c r="AF77" s="22"/>
      <c r="AG77" s="22"/>
      <c r="AH77" s="22"/>
      <c r="AI77" s="22"/>
      <c r="AJ77" s="22"/>
      <c r="AK77" s="22"/>
      <c r="AL77" s="22"/>
      <c r="AM77" s="22"/>
      <c r="AN77" s="22"/>
      <c r="AO77" s="22"/>
      <c r="AP77" s="22"/>
      <c r="AQ77" s="22"/>
      <c r="AR77" s="22"/>
      <c r="AS77" s="22"/>
      <c r="AT77" s="22"/>
      <c r="AU77" s="22"/>
    </row>
    <row r="78" spans="1:47" ht="15.75" customHeight="1" x14ac:dyDescent="0.2">
      <c r="A78" s="22"/>
      <c r="B78" s="5"/>
      <c r="C78" s="5"/>
      <c r="D78" s="6"/>
      <c r="E78" s="6"/>
      <c r="F78" s="6"/>
      <c r="G78" s="6"/>
      <c r="H78" s="6"/>
      <c r="I78" s="6"/>
      <c r="J78" s="6"/>
      <c r="K78" s="6"/>
      <c r="L78" s="6"/>
      <c r="M78" s="6"/>
      <c r="N78" s="6"/>
      <c r="O78" s="1"/>
      <c r="P78" s="22"/>
      <c r="Q78" s="22"/>
      <c r="S78" s="22"/>
      <c r="T78" s="22"/>
      <c r="U78" s="1"/>
      <c r="V78" s="22"/>
      <c r="Z78" s="1"/>
      <c r="AA78" s="1"/>
      <c r="AB78" s="2"/>
      <c r="AC78" s="2"/>
      <c r="AD78" s="2"/>
      <c r="AE78" s="1"/>
      <c r="AF78" s="22"/>
      <c r="AG78" s="22"/>
      <c r="AH78" s="22"/>
      <c r="AI78" s="22"/>
      <c r="AJ78" s="22"/>
      <c r="AK78" s="22"/>
      <c r="AL78" s="22"/>
      <c r="AM78" s="22"/>
      <c r="AN78" s="22"/>
      <c r="AO78" s="22"/>
      <c r="AP78" s="22"/>
      <c r="AQ78" s="22"/>
      <c r="AR78" s="22"/>
      <c r="AS78" s="22"/>
      <c r="AT78" s="22"/>
      <c r="AU78" s="22"/>
    </row>
    <row r="79" spans="1:47" ht="15.75" customHeight="1" x14ac:dyDescent="0.2">
      <c r="A79" s="22"/>
      <c r="B79" s="1"/>
      <c r="C79" s="1"/>
      <c r="D79" s="1"/>
      <c r="E79" s="1"/>
      <c r="F79" s="1"/>
      <c r="G79" s="1"/>
      <c r="H79" s="1"/>
      <c r="I79" s="1"/>
      <c r="J79" s="1"/>
      <c r="K79" s="1"/>
      <c r="L79" s="1"/>
      <c r="M79" s="1"/>
      <c r="N79" s="1"/>
      <c r="O79" s="1"/>
      <c r="P79" s="22"/>
      <c r="Q79" s="22"/>
      <c r="S79" s="22"/>
      <c r="T79" s="22"/>
      <c r="U79" s="1"/>
      <c r="V79" s="1"/>
      <c r="W79" s="1"/>
      <c r="X79" s="1"/>
      <c r="Y79" s="1"/>
      <c r="Z79" s="1"/>
      <c r="AA79" s="1"/>
      <c r="AB79" s="2"/>
      <c r="AC79" s="2"/>
      <c r="AD79" s="2"/>
      <c r="AE79" s="1"/>
      <c r="AF79" s="22"/>
      <c r="AG79" s="22"/>
      <c r="AH79" s="22"/>
      <c r="AI79" s="22"/>
      <c r="AJ79" s="22"/>
      <c r="AK79" s="22"/>
      <c r="AL79" s="22"/>
      <c r="AM79" s="22"/>
      <c r="AN79" s="22"/>
      <c r="AO79" s="22"/>
      <c r="AP79" s="22"/>
      <c r="AQ79" s="22"/>
      <c r="AR79" s="22"/>
      <c r="AS79" s="22"/>
      <c r="AT79" s="22"/>
      <c r="AU79" s="22"/>
    </row>
    <row r="80" spans="1:47" ht="15.75" customHeight="1" x14ac:dyDescent="0.2">
      <c r="A80" s="22"/>
      <c r="B80" s="1"/>
      <c r="C80" s="1"/>
      <c r="D80" s="1"/>
      <c r="E80" s="1"/>
      <c r="F80" s="1"/>
      <c r="G80" s="1"/>
      <c r="H80" s="1"/>
      <c r="I80" s="1"/>
      <c r="J80" s="1"/>
      <c r="K80" s="1"/>
      <c r="L80" s="1"/>
      <c r="M80" s="1"/>
      <c r="N80" s="1"/>
      <c r="O80" s="1"/>
      <c r="P80" s="22"/>
      <c r="Q80" s="22"/>
      <c r="S80" s="22"/>
      <c r="T80" s="22"/>
      <c r="U80" s="1"/>
      <c r="V80" s="1"/>
      <c r="W80" s="1"/>
      <c r="X80" s="1"/>
      <c r="Y80" s="1"/>
      <c r="Z80" s="1"/>
      <c r="AA80" s="1"/>
      <c r="AB80" s="2"/>
      <c r="AC80" s="2"/>
      <c r="AD80" s="2"/>
      <c r="AE80" s="1"/>
      <c r="AF80" s="22"/>
      <c r="AG80" s="22"/>
      <c r="AH80" s="22"/>
      <c r="AI80" s="22"/>
      <c r="AJ80" s="22"/>
      <c r="AK80" s="22"/>
      <c r="AL80" s="22"/>
      <c r="AM80" s="22"/>
      <c r="AN80" s="22"/>
      <c r="AO80" s="22"/>
      <c r="AP80" s="22"/>
      <c r="AQ80" s="22"/>
      <c r="AR80" s="22"/>
      <c r="AS80" s="22"/>
      <c r="AT80" s="22"/>
      <c r="AU80" s="22"/>
    </row>
    <row r="81" spans="1:47" ht="15.75" customHeight="1" x14ac:dyDescent="0.2">
      <c r="A81" s="22"/>
      <c r="B81" s="1"/>
      <c r="C81" s="1"/>
      <c r="D81" s="1"/>
      <c r="E81" s="1"/>
      <c r="F81" s="1"/>
      <c r="G81" s="1"/>
      <c r="H81" s="1"/>
      <c r="I81" s="1"/>
      <c r="J81" s="1"/>
      <c r="K81" s="1"/>
      <c r="L81" s="1"/>
      <c r="M81" s="1"/>
      <c r="N81" s="1"/>
      <c r="O81" s="1"/>
      <c r="P81" s="22"/>
      <c r="Q81" s="22"/>
      <c r="S81" s="22"/>
      <c r="T81" s="22"/>
      <c r="U81" s="1"/>
      <c r="V81" s="1"/>
      <c r="W81" s="1"/>
      <c r="X81" s="1"/>
      <c r="Y81" s="1"/>
      <c r="Z81" s="1"/>
      <c r="AA81" s="1"/>
      <c r="AB81" s="2"/>
      <c r="AC81" s="2"/>
      <c r="AD81" s="2"/>
      <c r="AE81" s="1"/>
      <c r="AF81" s="22"/>
      <c r="AG81" s="22"/>
      <c r="AH81" s="22"/>
      <c r="AI81" s="22"/>
      <c r="AJ81" s="22"/>
      <c r="AK81" s="22"/>
      <c r="AL81" s="22"/>
      <c r="AM81" s="22"/>
      <c r="AN81" s="22"/>
      <c r="AO81" s="22"/>
      <c r="AP81" s="22"/>
      <c r="AQ81" s="22"/>
      <c r="AR81" s="22"/>
      <c r="AS81" s="22"/>
      <c r="AT81" s="22"/>
      <c r="AU81" s="22"/>
    </row>
    <row r="82" spans="1:47" ht="15.75" customHeight="1" x14ac:dyDescent="0.2">
      <c r="A82" s="22"/>
      <c r="B82" s="1"/>
      <c r="C82" s="1"/>
      <c r="D82" s="1"/>
      <c r="E82" s="1"/>
      <c r="F82" s="1"/>
      <c r="G82" s="1"/>
      <c r="H82" s="1"/>
      <c r="I82" s="1"/>
      <c r="J82" s="1"/>
      <c r="K82" s="1"/>
      <c r="L82" s="1"/>
      <c r="M82" s="1"/>
      <c r="N82" s="1"/>
      <c r="O82" s="1"/>
      <c r="P82" s="22"/>
      <c r="Q82" s="22"/>
      <c r="S82" s="22"/>
      <c r="T82" s="22"/>
      <c r="U82" s="1"/>
      <c r="V82" s="1"/>
      <c r="W82" s="1"/>
      <c r="X82" s="1"/>
      <c r="Y82" s="1"/>
      <c r="Z82" s="1"/>
      <c r="AA82" s="1"/>
      <c r="AB82" s="2"/>
      <c r="AC82" s="2"/>
      <c r="AD82" s="2"/>
      <c r="AE82" s="1"/>
      <c r="AF82" s="22"/>
      <c r="AG82" s="22"/>
      <c r="AH82" s="22"/>
      <c r="AI82" s="22"/>
      <c r="AJ82" s="22"/>
      <c r="AK82" s="22"/>
      <c r="AL82" s="22"/>
      <c r="AM82" s="22"/>
      <c r="AN82" s="22"/>
      <c r="AO82" s="22"/>
      <c r="AP82" s="22"/>
      <c r="AQ82" s="22"/>
      <c r="AR82" s="22"/>
      <c r="AS82" s="22"/>
      <c r="AT82" s="22"/>
      <c r="AU82" s="22"/>
    </row>
    <row r="83" spans="1:47" ht="15.75" customHeight="1" x14ac:dyDescent="0.2">
      <c r="A83" s="22"/>
      <c r="B83" s="1"/>
      <c r="C83" s="1"/>
      <c r="D83" s="1"/>
      <c r="E83" s="1"/>
      <c r="F83" s="1"/>
      <c r="G83" s="1"/>
      <c r="H83" s="1"/>
      <c r="I83" s="1"/>
      <c r="J83" s="1"/>
      <c r="K83" s="1"/>
      <c r="L83" s="1"/>
      <c r="M83" s="1"/>
      <c r="N83" s="1"/>
      <c r="O83" s="1"/>
      <c r="P83" s="10"/>
      <c r="Q83" s="10"/>
      <c r="R83" s="10"/>
      <c r="S83" s="1"/>
      <c r="T83" s="1"/>
      <c r="U83" s="1"/>
      <c r="V83" s="1"/>
      <c r="W83" s="1"/>
      <c r="X83" s="1"/>
      <c r="Y83" s="1"/>
      <c r="Z83" s="1"/>
      <c r="AA83" s="1"/>
      <c r="AB83" s="2"/>
      <c r="AC83" s="2"/>
      <c r="AD83" s="2"/>
      <c r="AE83" s="1"/>
      <c r="AF83" s="22"/>
      <c r="AG83" s="22"/>
      <c r="AH83" s="22"/>
      <c r="AI83" s="22"/>
      <c r="AJ83" s="22"/>
      <c r="AK83" s="22"/>
      <c r="AL83" s="22"/>
      <c r="AM83" s="22"/>
      <c r="AN83" s="22"/>
      <c r="AO83" s="22"/>
      <c r="AP83" s="22"/>
      <c r="AQ83" s="22"/>
      <c r="AR83" s="22"/>
      <c r="AS83" s="22"/>
      <c r="AT83" s="22"/>
      <c r="AU83" s="22"/>
    </row>
    <row r="84" spans="1:47" ht="15.75" customHeight="1" x14ac:dyDescent="0.2">
      <c r="A84" s="22"/>
      <c r="B84" s="1"/>
      <c r="C84" s="1"/>
      <c r="D84" s="1"/>
      <c r="E84" s="1"/>
      <c r="F84" s="1"/>
      <c r="G84" s="1"/>
      <c r="H84" s="1"/>
      <c r="I84" s="1"/>
      <c r="J84" s="1"/>
      <c r="K84" s="1"/>
      <c r="L84" s="1"/>
      <c r="M84" s="1"/>
      <c r="N84" s="1"/>
      <c r="O84" s="6"/>
      <c r="P84" s="1"/>
      <c r="Q84" s="1"/>
      <c r="R84" s="1"/>
      <c r="S84" s="1"/>
      <c r="T84" s="1"/>
      <c r="U84" s="1"/>
      <c r="V84" s="1"/>
      <c r="W84" s="1"/>
      <c r="X84" s="1"/>
      <c r="Y84" s="1"/>
      <c r="Z84" s="1"/>
      <c r="AA84" s="1"/>
      <c r="AB84" s="2"/>
      <c r="AC84" s="2"/>
      <c r="AD84" s="2"/>
      <c r="AE84" s="1"/>
      <c r="AF84" s="22"/>
      <c r="AG84" s="22"/>
      <c r="AH84" s="22"/>
      <c r="AI84" s="22"/>
      <c r="AJ84" s="22"/>
      <c r="AK84" s="22"/>
      <c r="AL84" s="22"/>
      <c r="AM84" s="22"/>
      <c r="AN84" s="22"/>
      <c r="AO84" s="22"/>
      <c r="AP84" s="22"/>
      <c r="AQ84" s="22"/>
      <c r="AR84" s="22"/>
      <c r="AS84" s="22"/>
      <c r="AT84" s="22"/>
      <c r="AU84" s="22"/>
    </row>
    <row r="85" spans="1:47" ht="15.75" customHeight="1" x14ac:dyDescent="0.2">
      <c r="A85" s="22"/>
      <c r="B85" s="1"/>
      <c r="C85" s="1"/>
      <c r="D85" s="1"/>
      <c r="E85" s="1"/>
      <c r="F85" s="1"/>
      <c r="G85" s="1"/>
      <c r="H85" s="1"/>
      <c r="I85" s="1"/>
      <c r="J85" s="1"/>
      <c r="K85" s="1"/>
      <c r="L85" s="1"/>
      <c r="M85" s="1"/>
      <c r="N85" s="1"/>
      <c r="O85" s="1"/>
      <c r="P85" s="1"/>
      <c r="Q85" s="1"/>
      <c r="R85" s="1"/>
      <c r="S85" s="1"/>
      <c r="T85" s="1"/>
      <c r="U85" s="2"/>
      <c r="V85" s="1"/>
      <c r="W85" s="1"/>
      <c r="X85" s="1"/>
      <c r="Y85" s="1"/>
      <c r="Z85" s="1"/>
      <c r="AA85" s="1"/>
      <c r="AB85" s="2"/>
      <c r="AC85" s="2"/>
      <c r="AD85" s="2"/>
      <c r="AE85" s="1"/>
      <c r="AF85" s="22"/>
      <c r="AG85" s="22"/>
      <c r="AH85" s="22"/>
      <c r="AI85" s="22"/>
      <c r="AJ85" s="22"/>
      <c r="AK85" s="22"/>
      <c r="AL85" s="22"/>
      <c r="AM85" s="22"/>
      <c r="AN85" s="22"/>
      <c r="AO85" s="22"/>
      <c r="AP85" s="22"/>
      <c r="AQ85" s="22"/>
      <c r="AR85" s="22"/>
      <c r="AS85" s="22"/>
      <c r="AT85" s="22"/>
      <c r="AU85" s="22"/>
    </row>
    <row r="86" spans="1:47" ht="15.75" customHeight="1" x14ac:dyDescent="0.2">
      <c r="A86" s="22"/>
      <c r="B86" s="1"/>
      <c r="C86" s="1"/>
      <c r="D86" s="1"/>
      <c r="E86" s="1"/>
      <c r="F86" s="1"/>
      <c r="G86" s="1"/>
      <c r="H86" s="1"/>
      <c r="I86" s="1"/>
      <c r="J86" s="1"/>
      <c r="K86" s="1"/>
      <c r="L86" s="1"/>
      <c r="M86" s="1"/>
      <c r="N86" s="1"/>
      <c r="O86" s="1"/>
      <c r="P86" s="1"/>
      <c r="Q86" s="1"/>
      <c r="R86" s="1"/>
      <c r="S86" s="1"/>
      <c r="T86" s="1"/>
      <c r="U86" s="2"/>
      <c r="V86" s="1"/>
      <c r="W86" s="1"/>
      <c r="X86" s="1"/>
      <c r="Y86" s="1"/>
      <c r="Z86" s="1"/>
      <c r="AA86" s="1"/>
      <c r="AB86" s="2"/>
      <c r="AC86" s="2"/>
      <c r="AD86" s="2"/>
      <c r="AE86" s="1"/>
      <c r="AF86" s="22"/>
      <c r="AG86" s="22"/>
      <c r="AH86" s="22"/>
      <c r="AI86" s="22"/>
      <c r="AJ86" s="22"/>
      <c r="AK86" s="22"/>
      <c r="AL86" s="22"/>
      <c r="AM86" s="22"/>
      <c r="AN86" s="22"/>
      <c r="AO86" s="22"/>
      <c r="AP86" s="22"/>
      <c r="AQ86" s="22"/>
      <c r="AR86" s="22"/>
      <c r="AS86" s="22"/>
      <c r="AT86" s="22"/>
      <c r="AU86" s="22"/>
    </row>
    <row r="87" spans="1:47" ht="15.75" customHeight="1" x14ac:dyDescent="0.2">
      <c r="A87" s="22"/>
      <c r="B87" s="1"/>
      <c r="C87" s="1"/>
      <c r="D87" s="1"/>
      <c r="E87" s="1"/>
      <c r="F87" s="1"/>
      <c r="G87" s="1"/>
      <c r="H87" s="1"/>
      <c r="I87" s="1"/>
      <c r="J87" s="1"/>
      <c r="K87" s="1"/>
      <c r="L87" s="1"/>
      <c r="M87" s="1"/>
      <c r="N87" s="1"/>
      <c r="O87" s="1"/>
      <c r="P87" s="1"/>
      <c r="Q87" s="1"/>
      <c r="R87" s="1"/>
      <c r="S87" s="1"/>
      <c r="T87" s="1"/>
      <c r="U87" s="2"/>
      <c r="V87" s="1"/>
      <c r="W87" s="1"/>
      <c r="X87" s="1"/>
      <c r="Y87" s="1"/>
      <c r="Z87" s="1"/>
      <c r="AA87" s="1"/>
      <c r="AB87" s="2"/>
      <c r="AC87" s="2"/>
      <c r="AD87" s="2"/>
      <c r="AE87" s="1"/>
      <c r="AF87" s="22"/>
      <c r="AG87" s="22"/>
      <c r="AH87" s="22"/>
      <c r="AI87" s="22"/>
      <c r="AJ87" s="22"/>
      <c r="AK87" s="22"/>
      <c r="AL87" s="22"/>
      <c r="AM87" s="22"/>
      <c r="AN87" s="22"/>
      <c r="AO87" s="22"/>
      <c r="AP87" s="22"/>
      <c r="AQ87" s="22"/>
      <c r="AR87" s="22"/>
      <c r="AS87" s="22"/>
      <c r="AT87" s="22"/>
      <c r="AU87" s="22"/>
    </row>
    <row r="88" spans="1:47" ht="15.75" customHeight="1" x14ac:dyDescent="0.2">
      <c r="A88" s="22"/>
      <c r="B88" s="1"/>
      <c r="C88" s="1"/>
      <c r="D88" s="60"/>
      <c r="E88" s="60"/>
      <c r="F88" s="60"/>
      <c r="G88" s="60"/>
      <c r="H88" s="60"/>
      <c r="I88" s="60"/>
      <c r="J88" s="60"/>
      <c r="K88" s="60"/>
      <c r="L88" s="60"/>
      <c r="M88" s="60"/>
      <c r="N88" s="60"/>
      <c r="O88" s="60"/>
      <c r="P88" s="60"/>
      <c r="Q88" s="60"/>
      <c r="R88" s="60"/>
      <c r="S88" s="60"/>
      <c r="T88" s="1"/>
      <c r="U88" s="2"/>
      <c r="V88" s="1"/>
      <c r="W88" s="1"/>
      <c r="X88" s="1"/>
      <c r="Y88" s="1"/>
      <c r="Z88" s="1"/>
      <c r="AA88" s="1"/>
      <c r="AB88" s="2"/>
      <c r="AC88" s="2"/>
      <c r="AD88" s="2"/>
      <c r="AE88" s="1"/>
      <c r="AF88" s="22"/>
      <c r="AG88" s="22"/>
      <c r="AH88" s="22"/>
      <c r="AI88" s="22"/>
      <c r="AJ88" s="22"/>
      <c r="AK88" s="22"/>
      <c r="AL88" s="22"/>
      <c r="AM88" s="22"/>
      <c r="AN88" s="22"/>
      <c r="AO88" s="22"/>
      <c r="AP88" s="22"/>
      <c r="AQ88" s="22"/>
      <c r="AR88" s="22"/>
      <c r="AS88" s="22"/>
      <c r="AT88" s="22"/>
      <c r="AU88" s="22"/>
    </row>
    <row r="89" spans="1:47" ht="15.75" customHeight="1" x14ac:dyDescent="0.2">
      <c r="A89" s="22"/>
      <c r="B89" s="2"/>
      <c r="C89" s="2"/>
      <c r="D89" s="61"/>
      <c r="E89" s="61"/>
      <c r="F89" s="61"/>
      <c r="G89" s="61"/>
      <c r="H89" s="61"/>
      <c r="I89" s="61"/>
      <c r="J89" s="61"/>
      <c r="K89" s="61"/>
      <c r="L89" s="61"/>
      <c r="M89" s="61"/>
      <c r="N89" s="61"/>
      <c r="O89" s="61"/>
      <c r="P89" s="61"/>
      <c r="Q89" s="61"/>
      <c r="R89" s="61"/>
      <c r="S89" s="61"/>
      <c r="T89" s="1"/>
      <c r="U89" s="2"/>
      <c r="V89" s="2"/>
      <c r="W89" s="2"/>
      <c r="X89" s="2"/>
      <c r="Y89" s="2"/>
      <c r="Z89" s="2"/>
      <c r="AA89" s="2"/>
      <c r="AB89" s="2"/>
      <c r="AC89" s="2"/>
      <c r="AD89" s="2"/>
      <c r="AE89" s="1"/>
      <c r="AF89" s="22"/>
      <c r="AG89" s="22"/>
      <c r="AH89" s="22"/>
      <c r="AI89" s="22"/>
      <c r="AJ89" s="22"/>
      <c r="AK89" s="22"/>
      <c r="AL89" s="22"/>
      <c r="AM89" s="22"/>
      <c r="AN89" s="22"/>
      <c r="AO89" s="22"/>
      <c r="AP89" s="22"/>
      <c r="AQ89" s="22"/>
      <c r="AR89" s="22"/>
      <c r="AS89" s="22"/>
      <c r="AT89" s="22"/>
      <c r="AU89" s="22"/>
    </row>
    <row r="90" spans="1:47" ht="15.75" customHeight="1" x14ac:dyDescent="0.2">
      <c r="A90" s="22"/>
      <c r="B90" s="2"/>
      <c r="C90" s="2"/>
      <c r="D90" s="62"/>
      <c r="E90" s="62"/>
      <c r="F90" s="62"/>
      <c r="G90" s="62"/>
      <c r="H90" s="62"/>
      <c r="I90" s="62"/>
      <c r="J90" s="62"/>
      <c r="K90" s="62"/>
      <c r="L90" s="62"/>
      <c r="M90" s="62"/>
      <c r="N90" s="62"/>
      <c r="O90" s="62"/>
      <c r="P90" s="62"/>
      <c r="Q90" s="62"/>
      <c r="R90" s="62"/>
      <c r="S90" s="62"/>
      <c r="T90" s="1"/>
      <c r="U90" s="2"/>
      <c r="V90" s="2"/>
      <c r="W90" s="2"/>
      <c r="X90" s="2"/>
      <c r="Y90" s="2"/>
      <c r="Z90" s="2"/>
      <c r="AA90" s="2"/>
      <c r="AB90" s="2"/>
      <c r="AC90" s="2"/>
      <c r="AD90" s="2"/>
      <c r="AE90" s="1"/>
      <c r="AF90" s="22"/>
      <c r="AG90" s="22"/>
      <c r="AH90" s="22"/>
      <c r="AI90" s="22"/>
      <c r="AJ90" s="22"/>
      <c r="AK90" s="22"/>
      <c r="AL90" s="22"/>
      <c r="AM90" s="22"/>
      <c r="AN90" s="22"/>
      <c r="AO90" s="22"/>
      <c r="AP90" s="22"/>
      <c r="AQ90" s="22"/>
      <c r="AR90" s="22"/>
      <c r="AS90" s="22"/>
      <c r="AT90" s="22"/>
      <c r="AU90" s="22"/>
    </row>
    <row r="91" spans="1:47" ht="15.75" customHeight="1" x14ac:dyDescent="0.2">
      <c r="A91" s="22"/>
      <c r="B91" s="1"/>
      <c r="C91" s="7"/>
      <c r="D91" s="2"/>
      <c r="E91" s="2"/>
      <c r="F91" s="2"/>
      <c r="G91" s="2"/>
      <c r="H91" s="2"/>
      <c r="I91" s="2"/>
      <c r="J91" s="2"/>
      <c r="K91" s="2"/>
      <c r="L91" s="2"/>
      <c r="M91" s="2"/>
      <c r="N91" s="2"/>
      <c r="O91" s="2"/>
      <c r="P91" s="1"/>
      <c r="Q91" s="1"/>
      <c r="R91" s="1"/>
      <c r="S91" s="2"/>
      <c r="T91" s="1"/>
      <c r="U91" s="2"/>
      <c r="V91" s="2"/>
      <c r="W91" s="2"/>
      <c r="X91" s="2"/>
      <c r="Y91" s="2"/>
      <c r="Z91" s="2"/>
      <c r="AA91" s="2"/>
      <c r="AB91" s="2"/>
      <c r="AC91" s="2"/>
      <c r="AD91" s="2"/>
      <c r="AE91" s="1"/>
      <c r="AF91" s="22"/>
      <c r="AG91" s="22"/>
      <c r="AH91" s="22"/>
      <c r="AI91" s="22"/>
      <c r="AJ91" s="22"/>
      <c r="AK91" s="22"/>
      <c r="AL91" s="22"/>
      <c r="AM91" s="22"/>
      <c r="AN91" s="22"/>
      <c r="AO91" s="22"/>
      <c r="AP91" s="22"/>
      <c r="AQ91" s="22"/>
      <c r="AR91" s="22"/>
      <c r="AS91" s="22"/>
      <c r="AT91" s="22"/>
      <c r="AU91" s="22"/>
    </row>
    <row r="92" spans="1:47" ht="15.75" customHeight="1" x14ac:dyDescent="0.2">
      <c r="A92" s="22"/>
      <c r="B92" s="1"/>
      <c r="C92" s="2"/>
      <c r="D92" s="2"/>
      <c r="E92" s="2"/>
      <c r="F92" s="2"/>
      <c r="G92" s="2"/>
      <c r="H92" s="2"/>
      <c r="I92" s="2"/>
      <c r="J92" s="2"/>
      <c r="K92" s="2"/>
      <c r="L92" s="2"/>
      <c r="M92" s="2"/>
      <c r="N92" s="2"/>
      <c r="O92" s="2"/>
      <c r="P92" s="1"/>
      <c r="Q92" s="1"/>
      <c r="R92" s="1"/>
      <c r="S92" s="2"/>
      <c r="T92" s="1"/>
      <c r="U92" s="2"/>
      <c r="V92" s="2"/>
      <c r="W92" s="2"/>
      <c r="X92" s="2"/>
      <c r="Y92" s="2"/>
      <c r="Z92" s="2"/>
      <c r="AA92" s="2"/>
      <c r="AB92" s="2"/>
      <c r="AC92" s="2"/>
      <c r="AD92" s="2"/>
      <c r="AE92" s="1"/>
      <c r="AF92" s="22"/>
      <c r="AG92" s="22"/>
      <c r="AH92" s="22"/>
      <c r="AI92" s="22"/>
      <c r="AJ92" s="22"/>
      <c r="AK92" s="22"/>
      <c r="AL92" s="22"/>
      <c r="AM92" s="22"/>
      <c r="AN92" s="22"/>
      <c r="AO92" s="22"/>
      <c r="AP92" s="22"/>
      <c r="AQ92" s="22"/>
      <c r="AR92" s="22"/>
      <c r="AS92" s="22"/>
      <c r="AT92" s="22"/>
      <c r="AU92" s="22"/>
    </row>
    <row r="93" spans="1:47" ht="15.75" customHeight="1" x14ac:dyDescent="0.2">
      <c r="A93" s="22"/>
      <c r="B93" s="1"/>
      <c r="C93" s="2"/>
      <c r="D93" s="2"/>
      <c r="E93" s="2"/>
      <c r="F93" s="2"/>
      <c r="G93" s="2"/>
      <c r="H93" s="2"/>
      <c r="I93" s="2"/>
      <c r="J93" s="2"/>
      <c r="K93" s="2"/>
      <c r="L93" s="2"/>
      <c r="M93" s="2"/>
      <c r="N93" s="2"/>
      <c r="O93" s="2"/>
      <c r="P93" s="1"/>
      <c r="Q93" s="1"/>
      <c r="R93" s="1"/>
      <c r="S93" s="2"/>
      <c r="T93" s="1"/>
      <c r="U93" s="2"/>
      <c r="V93" s="2"/>
      <c r="W93" s="2"/>
      <c r="X93" s="2"/>
      <c r="Y93" s="2"/>
      <c r="Z93" s="2"/>
      <c r="AA93" s="2"/>
      <c r="AB93" s="2"/>
      <c r="AC93" s="2"/>
      <c r="AD93" s="2"/>
      <c r="AE93" s="1"/>
      <c r="AF93" s="22"/>
      <c r="AG93" s="22"/>
      <c r="AH93" s="22"/>
      <c r="AI93" s="22"/>
      <c r="AJ93" s="22"/>
      <c r="AK93" s="22"/>
      <c r="AL93" s="22"/>
      <c r="AM93" s="22"/>
      <c r="AN93" s="22"/>
      <c r="AO93" s="22"/>
      <c r="AP93" s="22"/>
      <c r="AQ93" s="22"/>
      <c r="AR93" s="22"/>
      <c r="AS93" s="22"/>
      <c r="AT93" s="22"/>
      <c r="AU93" s="22"/>
    </row>
    <row r="94" spans="1:47" ht="15.75" customHeight="1" x14ac:dyDescent="0.2">
      <c r="A94" s="22"/>
      <c r="B94" s="2"/>
      <c r="C94" s="2"/>
      <c r="D94" s="2"/>
      <c r="E94" s="2"/>
      <c r="F94" s="2"/>
      <c r="G94" s="2"/>
      <c r="H94" s="2"/>
      <c r="I94" s="2"/>
      <c r="J94" s="2"/>
      <c r="K94" s="2"/>
      <c r="L94" s="2"/>
      <c r="M94" s="2"/>
      <c r="N94" s="2"/>
      <c r="O94" s="2"/>
      <c r="P94" s="1"/>
      <c r="Q94" s="1"/>
      <c r="R94" s="1"/>
      <c r="S94" s="2"/>
      <c r="T94" s="2"/>
      <c r="U94" s="2"/>
      <c r="V94" s="2"/>
      <c r="W94" s="2"/>
      <c r="X94" s="2"/>
      <c r="Y94" s="2"/>
      <c r="Z94" s="2"/>
      <c r="AA94" s="2"/>
      <c r="AB94" s="2"/>
      <c r="AC94" s="2"/>
      <c r="AD94" s="2"/>
      <c r="AE94" s="1"/>
      <c r="AF94" s="22"/>
      <c r="AG94" s="22"/>
      <c r="AH94" s="22"/>
      <c r="AI94" s="22"/>
      <c r="AJ94" s="22"/>
      <c r="AK94" s="22"/>
      <c r="AL94" s="22"/>
      <c r="AM94" s="22"/>
      <c r="AN94" s="22"/>
      <c r="AO94" s="22"/>
      <c r="AP94" s="22"/>
      <c r="AQ94" s="22"/>
      <c r="AR94" s="22"/>
      <c r="AS94" s="22"/>
      <c r="AT94" s="22"/>
      <c r="AU94" s="22"/>
    </row>
    <row r="95" spans="1:47" ht="15.75" customHeight="1" x14ac:dyDescent="0.2">
      <c r="A95" s="22"/>
      <c r="B95" s="2"/>
      <c r="C95" s="2"/>
      <c r="D95" s="2"/>
      <c r="E95" s="2"/>
      <c r="F95" s="2"/>
      <c r="G95" s="2"/>
      <c r="H95" s="2"/>
      <c r="I95" s="2"/>
      <c r="J95" s="2"/>
      <c r="K95" s="2"/>
      <c r="L95" s="2"/>
      <c r="M95" s="2"/>
      <c r="N95" s="2"/>
      <c r="O95" s="2"/>
      <c r="P95" s="1"/>
      <c r="Q95" s="1"/>
      <c r="R95" s="1"/>
      <c r="S95" s="2"/>
      <c r="T95" s="2"/>
      <c r="U95" s="2"/>
      <c r="V95" s="2"/>
      <c r="W95" s="2"/>
      <c r="X95" s="2"/>
      <c r="Y95" s="2"/>
      <c r="Z95" s="2"/>
      <c r="AA95" s="2"/>
      <c r="AB95" s="2"/>
      <c r="AC95" s="2"/>
      <c r="AD95" s="2"/>
      <c r="AE95" s="1"/>
      <c r="AF95" s="22"/>
      <c r="AG95" s="22"/>
      <c r="AH95" s="22"/>
      <c r="AI95" s="22"/>
      <c r="AJ95" s="22"/>
      <c r="AK95" s="22"/>
      <c r="AL95" s="22"/>
      <c r="AM95" s="22"/>
      <c r="AN95" s="22"/>
      <c r="AO95" s="22"/>
      <c r="AP95" s="22"/>
      <c r="AQ95" s="22"/>
      <c r="AR95" s="22"/>
      <c r="AS95" s="22"/>
      <c r="AT95" s="22"/>
      <c r="AU95" s="22"/>
    </row>
    <row r="96" spans="1:47" ht="15.75" customHeight="1" x14ac:dyDescent="0.2">
      <c r="A96" s="22"/>
      <c r="B96" s="2"/>
      <c r="C96" s="2"/>
      <c r="D96" s="2"/>
      <c r="E96" s="2"/>
      <c r="F96" s="2"/>
      <c r="G96" s="2"/>
      <c r="H96" s="2"/>
      <c r="I96" s="2"/>
      <c r="J96" s="2"/>
      <c r="K96" s="2"/>
      <c r="L96" s="2"/>
      <c r="M96" s="2"/>
      <c r="N96" s="2"/>
      <c r="O96" s="2"/>
      <c r="P96" s="1"/>
      <c r="Q96" s="1"/>
      <c r="R96" s="1"/>
      <c r="S96" s="2"/>
      <c r="T96" s="2"/>
      <c r="U96" s="2"/>
      <c r="V96" s="2"/>
      <c r="W96" s="2"/>
      <c r="X96" s="2"/>
      <c r="Y96" s="2"/>
      <c r="Z96" s="2"/>
      <c r="AA96" s="2"/>
      <c r="AB96" s="2"/>
      <c r="AC96" s="2"/>
      <c r="AD96" s="2"/>
      <c r="AE96" s="1"/>
      <c r="AF96" s="22"/>
      <c r="AG96" s="22"/>
      <c r="AH96" s="22"/>
      <c r="AI96" s="22"/>
      <c r="AJ96" s="22"/>
      <c r="AK96" s="22"/>
      <c r="AL96" s="22"/>
      <c r="AM96" s="22"/>
      <c r="AN96" s="22"/>
      <c r="AO96" s="22"/>
      <c r="AP96" s="22"/>
      <c r="AQ96" s="22"/>
      <c r="AR96" s="22"/>
      <c r="AS96" s="22"/>
      <c r="AT96" s="22"/>
      <c r="AU96" s="22"/>
    </row>
    <row r="97" spans="1:47" ht="15.75" customHeight="1" x14ac:dyDescent="0.2">
      <c r="A97" s="22"/>
      <c r="B97" s="2"/>
      <c r="C97" s="22"/>
      <c r="D97" s="2"/>
      <c r="E97" s="2"/>
      <c r="F97" s="2"/>
      <c r="G97" s="2"/>
      <c r="H97" s="2"/>
      <c r="I97" s="2"/>
      <c r="J97" s="2"/>
      <c r="K97" s="2"/>
      <c r="L97" s="2"/>
      <c r="M97" s="2"/>
      <c r="N97" s="2"/>
      <c r="O97" s="2"/>
      <c r="P97" s="1"/>
      <c r="Q97" s="1"/>
      <c r="R97" s="1"/>
      <c r="S97" s="2"/>
      <c r="T97" s="2"/>
      <c r="U97" s="2"/>
      <c r="V97" s="2"/>
      <c r="W97" s="2"/>
      <c r="X97" s="2"/>
      <c r="Y97" s="2"/>
      <c r="Z97" s="2"/>
      <c r="AA97" s="2"/>
      <c r="AB97" s="2"/>
      <c r="AC97" s="2"/>
      <c r="AD97" s="2"/>
      <c r="AE97" s="1"/>
      <c r="AF97" s="22"/>
      <c r="AG97" s="22"/>
      <c r="AH97" s="22"/>
      <c r="AI97" s="22"/>
      <c r="AJ97" s="22"/>
      <c r="AK97" s="22"/>
      <c r="AL97" s="22"/>
      <c r="AM97" s="22"/>
      <c r="AN97" s="22"/>
      <c r="AO97" s="22"/>
      <c r="AP97" s="22"/>
      <c r="AQ97" s="22"/>
      <c r="AR97" s="22"/>
      <c r="AS97" s="22"/>
      <c r="AT97" s="22"/>
      <c r="AU97" s="22"/>
    </row>
    <row r="98" spans="1:47" ht="15.75" customHeight="1" x14ac:dyDescent="0.2">
      <c r="A98" s="22"/>
      <c r="B98" s="2"/>
      <c r="C98" s="2"/>
      <c r="D98" s="2"/>
      <c r="E98" s="2"/>
      <c r="F98" s="2"/>
      <c r="G98" s="2"/>
      <c r="H98" s="2"/>
      <c r="I98" s="2"/>
      <c r="J98" s="2"/>
      <c r="K98" s="2"/>
      <c r="L98" s="2"/>
      <c r="M98" s="2"/>
      <c r="N98" s="2"/>
      <c r="O98" s="2"/>
      <c r="P98" s="1"/>
      <c r="Q98" s="1"/>
      <c r="R98" s="1"/>
      <c r="S98" s="2"/>
      <c r="T98" s="2"/>
      <c r="U98" s="2"/>
      <c r="V98" s="2"/>
      <c r="W98" s="2"/>
      <c r="X98" s="2"/>
      <c r="Y98" s="2"/>
      <c r="Z98" s="2"/>
      <c r="AA98" s="2"/>
      <c r="AB98" s="2"/>
      <c r="AC98" s="2"/>
      <c r="AD98" s="2"/>
      <c r="AE98" s="1"/>
      <c r="AF98" s="22"/>
      <c r="AG98" s="22"/>
      <c r="AH98" s="22"/>
      <c r="AI98" s="22"/>
      <c r="AJ98" s="22"/>
      <c r="AK98" s="22"/>
      <c r="AL98" s="22"/>
      <c r="AM98" s="22"/>
      <c r="AN98" s="22"/>
      <c r="AO98" s="22"/>
      <c r="AP98" s="22"/>
      <c r="AQ98" s="22"/>
      <c r="AR98" s="22"/>
      <c r="AS98" s="22"/>
      <c r="AT98" s="22"/>
      <c r="AU98" s="22"/>
    </row>
    <row r="99" spans="1:47" ht="15.75" customHeight="1" x14ac:dyDescent="0.2">
      <c r="A99" s="22"/>
      <c r="B99" s="2"/>
      <c r="C99" s="2"/>
      <c r="D99" s="2"/>
      <c r="E99" s="2"/>
      <c r="F99" s="2"/>
      <c r="G99" s="2"/>
      <c r="H99" s="2"/>
      <c r="I99" s="2"/>
      <c r="J99" s="2"/>
      <c r="K99" s="2"/>
      <c r="L99" s="2"/>
      <c r="M99" s="2"/>
      <c r="N99" s="2"/>
      <c r="O99" s="2"/>
      <c r="P99" s="1"/>
      <c r="Q99" s="1"/>
      <c r="R99" s="1"/>
      <c r="S99" s="2"/>
      <c r="T99" s="2"/>
      <c r="U99" s="2"/>
      <c r="V99" s="2"/>
      <c r="W99" s="2"/>
      <c r="X99" s="2"/>
      <c r="Y99" s="2"/>
      <c r="Z99" s="2"/>
      <c r="AA99" s="2"/>
      <c r="AB99" s="2"/>
      <c r="AC99" s="2"/>
      <c r="AD99" s="2"/>
      <c r="AE99" s="1"/>
      <c r="AF99" s="22"/>
      <c r="AG99" s="22"/>
      <c r="AH99" s="22"/>
      <c r="AI99" s="22"/>
      <c r="AJ99" s="22"/>
      <c r="AK99" s="22"/>
      <c r="AL99" s="22"/>
      <c r="AM99" s="22"/>
      <c r="AN99" s="22"/>
      <c r="AO99" s="22"/>
      <c r="AP99" s="22"/>
      <c r="AQ99" s="22"/>
      <c r="AR99" s="22"/>
      <c r="AS99" s="22"/>
      <c r="AT99" s="22"/>
      <c r="AU99" s="22"/>
    </row>
    <row r="100" spans="1:47" ht="15.75" customHeight="1" x14ac:dyDescent="0.2">
      <c r="A100" s="22"/>
      <c r="B100" s="2"/>
      <c r="C100" s="2"/>
      <c r="D100" s="2"/>
      <c r="E100" s="2"/>
      <c r="F100" s="2"/>
      <c r="G100" s="2"/>
      <c r="H100" s="2"/>
      <c r="I100" s="2"/>
      <c r="J100" s="2"/>
      <c r="K100" s="2"/>
      <c r="L100" s="2"/>
      <c r="M100" s="2"/>
      <c r="N100" s="2"/>
      <c r="O100" s="2"/>
      <c r="P100" s="1"/>
      <c r="Q100" s="1"/>
      <c r="R100" s="1"/>
      <c r="S100" s="2"/>
      <c r="T100" s="2"/>
      <c r="U100" s="2"/>
      <c r="V100" s="2"/>
      <c r="W100" s="2"/>
      <c r="X100" s="2"/>
      <c r="Y100" s="2"/>
      <c r="Z100" s="2"/>
      <c r="AA100" s="2"/>
      <c r="AB100" s="2"/>
      <c r="AC100" s="2"/>
      <c r="AD100" s="2"/>
      <c r="AE100" s="1"/>
      <c r="AF100" s="22"/>
      <c r="AG100" s="22"/>
      <c r="AH100" s="22"/>
      <c r="AI100" s="22"/>
      <c r="AJ100" s="22"/>
      <c r="AK100" s="22"/>
      <c r="AL100" s="22"/>
      <c r="AM100" s="22"/>
      <c r="AN100" s="22"/>
      <c r="AO100" s="22"/>
      <c r="AP100" s="22"/>
      <c r="AQ100" s="22"/>
      <c r="AR100" s="22"/>
      <c r="AS100" s="22"/>
      <c r="AT100" s="22"/>
      <c r="AU100" s="22"/>
    </row>
    <row r="101" spans="1:47" ht="15.75" customHeight="1" x14ac:dyDescent="0.2">
      <c r="A101" s="22"/>
      <c r="B101" s="2"/>
      <c r="C101" s="2"/>
      <c r="D101" s="2"/>
      <c r="E101" s="2"/>
      <c r="F101" s="2"/>
      <c r="G101" s="2"/>
      <c r="H101" s="2"/>
      <c r="I101" s="2"/>
      <c r="J101" s="2"/>
      <c r="K101" s="2"/>
      <c r="L101" s="2"/>
      <c r="M101" s="2"/>
      <c r="N101" s="2"/>
      <c r="O101" s="2"/>
      <c r="P101" s="1"/>
      <c r="Q101" s="1"/>
      <c r="R101" s="1"/>
      <c r="S101" s="2"/>
      <c r="T101" s="2"/>
      <c r="U101" s="2"/>
      <c r="V101" s="2"/>
      <c r="W101" s="2"/>
      <c r="X101" s="2"/>
      <c r="Y101" s="2"/>
      <c r="Z101" s="2"/>
      <c r="AA101" s="2"/>
      <c r="AB101" s="2"/>
      <c r="AC101" s="2"/>
      <c r="AD101" s="2"/>
      <c r="AE101" s="1"/>
      <c r="AF101" s="22"/>
      <c r="AG101" s="22"/>
      <c r="AH101" s="22"/>
      <c r="AI101" s="22"/>
      <c r="AJ101" s="22"/>
      <c r="AK101" s="22"/>
      <c r="AL101" s="22"/>
      <c r="AM101" s="22"/>
      <c r="AN101" s="22"/>
      <c r="AO101" s="22"/>
      <c r="AP101" s="22"/>
      <c r="AQ101" s="22"/>
      <c r="AR101" s="22"/>
      <c r="AS101" s="22"/>
      <c r="AT101" s="22"/>
      <c r="AU101" s="22"/>
    </row>
    <row r="102" spans="1:47" ht="15.75" customHeight="1" x14ac:dyDescent="0.2">
      <c r="A102" s="22"/>
      <c r="B102" s="2"/>
      <c r="C102" s="2"/>
      <c r="D102" s="2"/>
      <c r="E102" s="2"/>
      <c r="F102" s="2"/>
      <c r="G102" s="2"/>
      <c r="H102" s="2"/>
      <c r="I102" s="2"/>
      <c r="J102" s="2"/>
      <c r="K102" s="2"/>
      <c r="L102" s="2"/>
      <c r="M102" s="2"/>
      <c r="N102" s="2"/>
      <c r="O102" s="2"/>
      <c r="P102" s="1"/>
      <c r="Q102" s="1"/>
      <c r="R102" s="1"/>
      <c r="S102" s="2"/>
      <c r="T102" s="2"/>
      <c r="U102" s="2"/>
      <c r="V102" s="2"/>
      <c r="W102" s="2"/>
      <c r="X102" s="2"/>
      <c r="Y102" s="2"/>
      <c r="Z102" s="2"/>
      <c r="AA102" s="2"/>
      <c r="AB102" s="2"/>
      <c r="AC102" s="2"/>
      <c r="AD102" s="2"/>
      <c r="AE102" s="1"/>
      <c r="AF102" s="22"/>
      <c r="AG102" s="22"/>
      <c r="AH102" s="22"/>
      <c r="AI102" s="22"/>
      <c r="AJ102" s="22"/>
      <c r="AK102" s="22"/>
      <c r="AL102" s="22"/>
      <c r="AM102" s="22"/>
      <c r="AN102" s="22"/>
      <c r="AO102" s="22"/>
      <c r="AP102" s="22"/>
      <c r="AQ102" s="22"/>
      <c r="AR102" s="22"/>
      <c r="AS102" s="22"/>
      <c r="AT102" s="22"/>
      <c r="AU102" s="22"/>
    </row>
    <row r="103" spans="1:47" ht="15.75" customHeight="1" x14ac:dyDescent="0.2">
      <c r="A103" s="22"/>
      <c r="B103" s="2"/>
      <c r="C103" s="2"/>
      <c r="D103" s="2"/>
      <c r="E103" s="2"/>
      <c r="F103" s="2"/>
      <c r="G103" s="2"/>
      <c r="H103" s="2"/>
      <c r="I103" s="2"/>
      <c r="J103" s="2"/>
      <c r="K103" s="2"/>
      <c r="L103" s="2"/>
      <c r="M103" s="2"/>
      <c r="N103" s="2"/>
      <c r="O103" s="2"/>
      <c r="P103" s="1"/>
      <c r="Q103" s="1"/>
      <c r="R103" s="1"/>
      <c r="S103" s="2"/>
      <c r="T103" s="2"/>
      <c r="U103" s="2"/>
      <c r="V103" s="2"/>
      <c r="W103" s="2"/>
      <c r="X103" s="2"/>
      <c r="Y103" s="2"/>
      <c r="Z103" s="2"/>
      <c r="AA103" s="2"/>
      <c r="AB103" s="2"/>
      <c r="AC103" s="2"/>
      <c r="AD103" s="2"/>
      <c r="AE103" s="1"/>
      <c r="AF103" s="22"/>
      <c r="AG103" s="22"/>
      <c r="AH103" s="22"/>
      <c r="AI103" s="22"/>
      <c r="AJ103" s="22"/>
      <c r="AK103" s="22"/>
      <c r="AL103" s="22"/>
      <c r="AM103" s="22"/>
      <c r="AN103" s="22"/>
      <c r="AO103" s="22"/>
      <c r="AP103" s="22"/>
      <c r="AQ103" s="22"/>
      <c r="AR103" s="22"/>
      <c r="AS103" s="22"/>
      <c r="AT103" s="22"/>
      <c r="AU103" s="22"/>
    </row>
    <row r="104" spans="1:47" ht="15.75" customHeight="1" x14ac:dyDescent="0.2">
      <c r="A104" s="2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1"/>
      <c r="AF104" s="22"/>
      <c r="AG104" s="22"/>
      <c r="AH104" s="22"/>
      <c r="AI104" s="22"/>
      <c r="AJ104" s="22"/>
      <c r="AK104" s="22"/>
      <c r="AL104" s="22"/>
      <c r="AM104" s="22"/>
      <c r="AN104" s="22"/>
      <c r="AO104" s="22"/>
      <c r="AP104" s="22"/>
      <c r="AQ104" s="22"/>
      <c r="AR104" s="22"/>
      <c r="AS104" s="22"/>
      <c r="AT104" s="22"/>
      <c r="AU104" s="22"/>
    </row>
    <row r="105" spans="1:47" ht="15.75" customHeight="1" x14ac:dyDescent="0.2">
      <c r="A105" s="2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1"/>
      <c r="AF105" s="22"/>
      <c r="AG105" s="22"/>
      <c r="AH105" s="22"/>
      <c r="AI105" s="22"/>
      <c r="AJ105" s="22"/>
      <c r="AK105" s="22"/>
      <c r="AL105" s="22"/>
      <c r="AM105" s="22"/>
      <c r="AN105" s="22"/>
      <c r="AO105" s="22"/>
      <c r="AP105" s="22"/>
      <c r="AQ105" s="22"/>
      <c r="AR105" s="22"/>
      <c r="AS105" s="22"/>
      <c r="AT105" s="22"/>
      <c r="AU105" s="22"/>
    </row>
    <row r="106" spans="1:47" ht="15.75" customHeight="1" x14ac:dyDescent="0.2">
      <c r="A106" s="2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1"/>
      <c r="AF106" s="22"/>
      <c r="AG106" s="22"/>
      <c r="AH106" s="22"/>
      <c r="AI106" s="22"/>
      <c r="AJ106" s="22"/>
      <c r="AK106" s="22"/>
      <c r="AL106" s="22"/>
      <c r="AM106" s="22"/>
      <c r="AN106" s="22"/>
      <c r="AO106" s="22"/>
      <c r="AP106" s="22"/>
      <c r="AQ106" s="22"/>
      <c r="AR106" s="22"/>
      <c r="AS106" s="22"/>
      <c r="AT106" s="22"/>
      <c r="AU106" s="22"/>
    </row>
    <row r="107" spans="1:47" ht="15.75" customHeight="1" x14ac:dyDescent="0.2">
      <c r="A107" s="2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1"/>
      <c r="AF107" s="22"/>
      <c r="AG107" s="22"/>
      <c r="AH107" s="22"/>
      <c r="AI107" s="22"/>
      <c r="AJ107" s="22"/>
      <c r="AK107" s="22"/>
      <c r="AL107" s="22"/>
      <c r="AM107" s="22"/>
      <c r="AN107" s="22"/>
      <c r="AO107" s="22"/>
      <c r="AP107" s="22"/>
      <c r="AQ107" s="22"/>
      <c r="AR107" s="22"/>
      <c r="AS107" s="22"/>
      <c r="AT107" s="22"/>
      <c r="AU107" s="22"/>
    </row>
    <row r="108" spans="1:47" ht="15.75" customHeight="1" x14ac:dyDescent="0.2">
      <c r="A108" s="2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1"/>
      <c r="AF108" s="22"/>
      <c r="AG108" s="22"/>
      <c r="AH108" s="22"/>
      <c r="AI108" s="22"/>
      <c r="AJ108" s="22"/>
      <c r="AK108" s="22"/>
      <c r="AL108" s="22"/>
      <c r="AM108" s="22"/>
      <c r="AN108" s="22"/>
      <c r="AO108" s="22"/>
      <c r="AP108" s="22"/>
      <c r="AQ108" s="22"/>
      <c r="AR108" s="22"/>
      <c r="AS108" s="22"/>
      <c r="AT108" s="22"/>
      <c r="AU108" s="22"/>
    </row>
    <row r="109" spans="1:47" ht="15.75" customHeight="1" x14ac:dyDescent="0.2">
      <c r="A109" s="2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1"/>
      <c r="AF109" s="22"/>
      <c r="AG109" s="22"/>
      <c r="AH109" s="22"/>
      <c r="AI109" s="22"/>
      <c r="AJ109" s="22"/>
      <c r="AK109" s="22"/>
      <c r="AL109" s="22"/>
      <c r="AM109" s="22"/>
      <c r="AN109" s="22"/>
      <c r="AO109" s="22"/>
      <c r="AP109" s="22"/>
      <c r="AQ109" s="22"/>
      <c r="AR109" s="22"/>
      <c r="AS109" s="22"/>
      <c r="AT109" s="22"/>
      <c r="AU109" s="22"/>
    </row>
    <row r="110" spans="1:47" ht="15.75" customHeight="1" x14ac:dyDescent="0.2">
      <c r="A110" s="2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1"/>
      <c r="AF110" s="22"/>
      <c r="AG110" s="22"/>
      <c r="AH110" s="22"/>
      <c r="AI110" s="22"/>
      <c r="AJ110" s="22"/>
      <c r="AK110" s="22"/>
      <c r="AL110" s="22"/>
      <c r="AM110" s="22"/>
      <c r="AN110" s="22"/>
      <c r="AO110" s="22"/>
      <c r="AP110" s="22"/>
      <c r="AQ110" s="22"/>
      <c r="AR110" s="22"/>
      <c r="AS110" s="22"/>
      <c r="AT110" s="22"/>
      <c r="AU110" s="22"/>
    </row>
    <row r="111" spans="1:47" ht="15.75" customHeight="1" x14ac:dyDescent="0.2">
      <c r="A111" s="2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1"/>
      <c r="AF111" s="22"/>
      <c r="AG111" s="22"/>
      <c r="AH111" s="22"/>
      <c r="AI111" s="22"/>
      <c r="AJ111" s="22"/>
      <c r="AK111" s="22"/>
      <c r="AL111" s="22"/>
      <c r="AM111" s="22"/>
      <c r="AN111" s="22"/>
      <c r="AO111" s="22"/>
      <c r="AP111" s="22"/>
      <c r="AQ111" s="22"/>
      <c r="AR111" s="22"/>
      <c r="AS111" s="22"/>
      <c r="AT111" s="22"/>
      <c r="AU111" s="22"/>
    </row>
    <row r="112" spans="1:47" ht="15.75" customHeight="1" x14ac:dyDescent="0.2">
      <c r="A112" s="2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1"/>
      <c r="AF112" s="22"/>
      <c r="AG112" s="22"/>
      <c r="AH112" s="22"/>
      <c r="AI112" s="22"/>
      <c r="AJ112" s="22"/>
      <c r="AK112" s="22"/>
      <c r="AL112" s="22"/>
      <c r="AM112" s="22"/>
      <c r="AN112" s="22"/>
      <c r="AO112" s="22"/>
      <c r="AP112" s="22"/>
      <c r="AQ112" s="22"/>
      <c r="AR112" s="22"/>
      <c r="AS112" s="22"/>
      <c r="AT112" s="22"/>
      <c r="AU112" s="22"/>
    </row>
    <row r="113" spans="1:47" ht="15.75" customHeight="1" x14ac:dyDescent="0.2">
      <c r="A113" s="2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1"/>
      <c r="AF113" s="22"/>
      <c r="AG113" s="22"/>
      <c r="AH113" s="22"/>
      <c r="AI113" s="22"/>
      <c r="AJ113" s="22"/>
      <c r="AK113" s="22"/>
      <c r="AL113" s="22"/>
      <c r="AM113" s="22"/>
      <c r="AN113" s="22"/>
      <c r="AO113" s="22"/>
      <c r="AP113" s="22"/>
      <c r="AQ113" s="22"/>
      <c r="AR113" s="22"/>
      <c r="AS113" s="22"/>
      <c r="AT113" s="22"/>
      <c r="AU113" s="22"/>
    </row>
    <row r="114" spans="1:47" ht="15.75" customHeight="1" x14ac:dyDescent="0.2">
      <c r="A114" s="2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1"/>
      <c r="AF114" s="22"/>
      <c r="AG114" s="22"/>
      <c r="AH114" s="22"/>
      <c r="AI114" s="22"/>
      <c r="AJ114" s="22"/>
      <c r="AK114" s="22"/>
      <c r="AL114" s="22"/>
      <c r="AM114" s="22"/>
      <c r="AN114" s="22"/>
      <c r="AO114" s="22"/>
      <c r="AP114" s="22"/>
      <c r="AQ114" s="22"/>
      <c r="AR114" s="22"/>
      <c r="AS114" s="22"/>
      <c r="AT114" s="22"/>
      <c r="AU114" s="22"/>
    </row>
    <row r="115" spans="1:47" ht="15.75" customHeight="1" x14ac:dyDescent="0.2">
      <c r="A115" s="2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1"/>
      <c r="AF115" s="22"/>
      <c r="AG115" s="22"/>
      <c r="AH115" s="22"/>
      <c r="AI115" s="22"/>
      <c r="AJ115" s="22"/>
      <c r="AK115" s="22"/>
      <c r="AL115" s="22"/>
      <c r="AM115" s="22"/>
      <c r="AN115" s="22"/>
      <c r="AO115" s="22"/>
      <c r="AP115" s="22"/>
      <c r="AQ115" s="22"/>
      <c r="AR115" s="22"/>
      <c r="AS115" s="22"/>
      <c r="AT115" s="22"/>
      <c r="AU115" s="22"/>
    </row>
    <row r="116" spans="1:47" ht="15.75" customHeight="1" x14ac:dyDescent="0.2">
      <c r="A116" s="2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1"/>
      <c r="AF116" s="22"/>
      <c r="AG116" s="22"/>
      <c r="AH116" s="22"/>
      <c r="AI116" s="22"/>
      <c r="AJ116" s="22"/>
      <c r="AK116" s="22"/>
      <c r="AL116" s="22"/>
      <c r="AM116" s="22"/>
      <c r="AN116" s="22"/>
      <c r="AO116" s="22"/>
      <c r="AP116" s="22"/>
      <c r="AQ116" s="22"/>
      <c r="AR116" s="22"/>
      <c r="AS116" s="22"/>
      <c r="AT116" s="22"/>
      <c r="AU116" s="22"/>
    </row>
    <row r="117" spans="1:47" ht="15.75" customHeight="1" x14ac:dyDescent="0.2">
      <c r="A117" s="2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1"/>
      <c r="AF117" s="22"/>
      <c r="AG117" s="22"/>
      <c r="AH117" s="22"/>
      <c r="AI117" s="22"/>
      <c r="AJ117" s="22"/>
      <c r="AK117" s="22"/>
      <c r="AL117" s="22"/>
      <c r="AM117" s="22"/>
      <c r="AN117" s="22"/>
      <c r="AO117" s="22"/>
      <c r="AP117" s="22"/>
      <c r="AQ117" s="22"/>
      <c r="AR117" s="22"/>
      <c r="AS117" s="22"/>
      <c r="AT117" s="22"/>
      <c r="AU117" s="22"/>
    </row>
    <row r="118" spans="1:47" ht="15.75" customHeight="1" x14ac:dyDescent="0.2">
      <c r="A118" s="2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1"/>
      <c r="AF118" s="22"/>
      <c r="AG118" s="22"/>
      <c r="AH118" s="22"/>
      <c r="AI118" s="22"/>
      <c r="AJ118" s="22"/>
      <c r="AK118" s="22"/>
      <c r="AL118" s="22"/>
      <c r="AM118" s="22"/>
      <c r="AN118" s="22"/>
      <c r="AO118" s="22"/>
      <c r="AP118" s="22"/>
      <c r="AQ118" s="22"/>
      <c r="AR118" s="22"/>
      <c r="AS118" s="22"/>
      <c r="AT118" s="22"/>
      <c r="AU118" s="22"/>
    </row>
    <row r="119" spans="1:47" ht="15.75" customHeight="1" x14ac:dyDescent="0.2">
      <c r="A119" s="2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2"/>
      <c r="AG119" s="22"/>
      <c r="AH119" s="22"/>
      <c r="AI119" s="22"/>
      <c r="AJ119" s="22"/>
      <c r="AK119" s="22"/>
      <c r="AL119" s="22"/>
      <c r="AM119" s="22"/>
      <c r="AN119" s="22"/>
      <c r="AO119" s="22"/>
      <c r="AP119" s="22"/>
      <c r="AQ119" s="22"/>
      <c r="AR119" s="22"/>
      <c r="AS119" s="22"/>
      <c r="AT119" s="22"/>
      <c r="AU119" s="22"/>
    </row>
    <row r="120" spans="1:47" ht="15.75" customHeight="1" x14ac:dyDescent="0.2">
      <c r="A120" s="2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2"/>
      <c r="AG120" s="22"/>
      <c r="AH120" s="22"/>
      <c r="AI120" s="22"/>
      <c r="AJ120" s="22"/>
      <c r="AK120" s="22"/>
      <c r="AL120" s="22"/>
      <c r="AM120" s="22"/>
      <c r="AN120" s="22"/>
      <c r="AO120" s="22"/>
      <c r="AP120" s="22"/>
      <c r="AQ120" s="22"/>
      <c r="AR120" s="22"/>
      <c r="AS120" s="22"/>
      <c r="AT120" s="22"/>
      <c r="AU120" s="22"/>
    </row>
    <row r="121" spans="1:47" ht="15.75" customHeight="1" x14ac:dyDescent="0.2">
      <c r="A121" s="2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2"/>
      <c r="AG121" s="22"/>
      <c r="AH121" s="22"/>
      <c r="AI121" s="22"/>
      <c r="AJ121" s="22"/>
      <c r="AK121" s="22"/>
      <c r="AL121" s="22"/>
      <c r="AM121" s="22"/>
      <c r="AN121" s="22"/>
      <c r="AO121" s="22"/>
      <c r="AP121" s="22"/>
      <c r="AQ121" s="22"/>
      <c r="AR121" s="22"/>
      <c r="AS121" s="22"/>
      <c r="AT121" s="22"/>
      <c r="AU121" s="22"/>
    </row>
    <row r="122" spans="1:47" ht="15.75" customHeight="1" x14ac:dyDescent="0.2">
      <c r="A122" s="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2"/>
      <c r="AG122" s="22"/>
      <c r="AH122" s="22"/>
      <c r="AI122" s="22"/>
      <c r="AJ122" s="22"/>
      <c r="AK122" s="22"/>
      <c r="AL122" s="22"/>
      <c r="AM122" s="22"/>
      <c r="AN122" s="22"/>
      <c r="AO122" s="22"/>
      <c r="AP122" s="22"/>
      <c r="AQ122" s="22"/>
      <c r="AR122" s="22"/>
      <c r="AS122" s="22"/>
      <c r="AT122" s="22"/>
      <c r="AU122" s="22"/>
    </row>
    <row r="123" spans="1:47" ht="15.75" customHeight="1" x14ac:dyDescent="0.2">
      <c r="A123" s="2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2"/>
      <c r="AG123" s="22"/>
      <c r="AH123" s="22"/>
      <c r="AI123" s="22"/>
      <c r="AJ123" s="22"/>
      <c r="AK123" s="22"/>
      <c r="AL123" s="22"/>
      <c r="AM123" s="22"/>
      <c r="AN123" s="22"/>
      <c r="AO123" s="22"/>
      <c r="AP123" s="22"/>
      <c r="AQ123" s="22"/>
      <c r="AR123" s="22"/>
      <c r="AS123" s="22"/>
      <c r="AT123" s="22"/>
      <c r="AU123" s="22"/>
    </row>
    <row r="124" spans="1:47" ht="15.75" customHeight="1" x14ac:dyDescent="0.2">
      <c r="A124" s="2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2"/>
      <c r="AG124" s="22"/>
      <c r="AH124" s="22"/>
      <c r="AI124" s="22"/>
      <c r="AJ124" s="22"/>
      <c r="AK124" s="22"/>
      <c r="AL124" s="22"/>
      <c r="AM124" s="22"/>
      <c r="AN124" s="22"/>
      <c r="AO124" s="22"/>
      <c r="AP124" s="22"/>
      <c r="AQ124" s="22"/>
      <c r="AR124" s="22"/>
      <c r="AS124" s="22"/>
      <c r="AT124" s="22"/>
      <c r="AU124" s="22"/>
    </row>
    <row r="125" spans="1:47" ht="15.75" customHeight="1" x14ac:dyDescent="0.2">
      <c r="A125" s="2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2"/>
      <c r="AG125" s="22"/>
      <c r="AH125" s="22"/>
      <c r="AI125" s="22"/>
      <c r="AJ125" s="22"/>
      <c r="AK125" s="22"/>
      <c r="AL125" s="22"/>
      <c r="AM125" s="22"/>
      <c r="AN125" s="22"/>
      <c r="AO125" s="22"/>
      <c r="AP125" s="22"/>
      <c r="AQ125" s="22"/>
      <c r="AR125" s="22"/>
      <c r="AS125" s="22"/>
      <c r="AT125" s="22"/>
      <c r="AU125" s="22"/>
    </row>
    <row r="126" spans="1:47" ht="15.75" customHeight="1" x14ac:dyDescent="0.2">
      <c r="A126" s="2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2"/>
      <c r="AG126" s="22"/>
      <c r="AH126" s="22"/>
      <c r="AI126" s="22"/>
      <c r="AJ126" s="22"/>
      <c r="AK126" s="22"/>
      <c r="AL126" s="22"/>
      <c r="AM126" s="22"/>
      <c r="AN126" s="22"/>
      <c r="AO126" s="22"/>
      <c r="AP126" s="22"/>
      <c r="AQ126" s="22"/>
      <c r="AR126" s="22"/>
      <c r="AS126" s="22"/>
      <c r="AT126" s="22"/>
      <c r="AU126" s="22"/>
    </row>
    <row r="127" spans="1:47" ht="15.75" customHeight="1" x14ac:dyDescent="0.2">
      <c r="A127" s="2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2"/>
      <c r="AG127" s="22"/>
      <c r="AH127" s="22"/>
      <c r="AI127" s="22"/>
      <c r="AJ127" s="22"/>
      <c r="AK127" s="22"/>
      <c r="AL127" s="22"/>
      <c r="AM127" s="22"/>
      <c r="AN127" s="22"/>
      <c r="AO127" s="22"/>
      <c r="AP127" s="22"/>
      <c r="AQ127" s="22"/>
      <c r="AR127" s="22"/>
      <c r="AS127" s="22"/>
      <c r="AT127" s="22"/>
      <c r="AU127" s="22"/>
    </row>
    <row r="128" spans="1:47" ht="15.75" customHeight="1" x14ac:dyDescent="0.2">
      <c r="A128" s="2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2"/>
      <c r="AG128" s="22"/>
      <c r="AH128" s="22"/>
      <c r="AI128" s="22"/>
      <c r="AJ128" s="22"/>
      <c r="AK128" s="22"/>
      <c r="AL128" s="22"/>
      <c r="AM128" s="22"/>
      <c r="AN128" s="22"/>
      <c r="AO128" s="22"/>
      <c r="AP128" s="22"/>
      <c r="AQ128" s="22"/>
      <c r="AR128" s="22"/>
      <c r="AS128" s="22"/>
      <c r="AT128" s="22"/>
      <c r="AU128" s="22"/>
    </row>
    <row r="129" spans="2:47" ht="15.75" customHeight="1" x14ac:dyDescent="0.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2"/>
      <c r="AG129" s="22"/>
      <c r="AH129" s="22"/>
      <c r="AI129" s="22"/>
      <c r="AJ129" s="22"/>
      <c r="AK129" s="22"/>
      <c r="AL129" s="22"/>
      <c r="AM129" s="22"/>
      <c r="AN129" s="22"/>
      <c r="AO129" s="22"/>
      <c r="AP129" s="22"/>
      <c r="AQ129" s="22"/>
      <c r="AR129" s="22"/>
      <c r="AS129" s="22"/>
      <c r="AT129" s="22"/>
      <c r="AU129" s="22"/>
    </row>
    <row r="130" spans="2:47" ht="15.75" customHeight="1" x14ac:dyDescent="0.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2"/>
      <c r="AG130" s="22"/>
      <c r="AH130" s="22"/>
      <c r="AI130" s="22"/>
      <c r="AJ130" s="22"/>
      <c r="AK130" s="22"/>
      <c r="AL130" s="22"/>
      <c r="AM130" s="22"/>
      <c r="AN130" s="22"/>
      <c r="AO130" s="22"/>
      <c r="AP130" s="22"/>
      <c r="AQ130" s="22"/>
      <c r="AR130" s="22"/>
      <c r="AS130" s="22"/>
      <c r="AT130" s="22"/>
      <c r="AU130" s="22"/>
    </row>
    <row r="131" spans="2:47" ht="15.75" customHeight="1" x14ac:dyDescent="0.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2"/>
      <c r="AG131" s="22"/>
      <c r="AH131" s="22"/>
      <c r="AI131" s="22"/>
      <c r="AJ131" s="22"/>
      <c r="AK131" s="22"/>
      <c r="AL131" s="22"/>
      <c r="AM131" s="22"/>
      <c r="AN131" s="22"/>
      <c r="AO131" s="22"/>
      <c r="AP131" s="22"/>
      <c r="AQ131" s="22"/>
      <c r="AR131" s="22"/>
      <c r="AS131" s="22"/>
      <c r="AT131" s="22"/>
      <c r="AU131" s="22"/>
    </row>
    <row r="132" spans="2:47" ht="15.75" customHeight="1" x14ac:dyDescent="0.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2"/>
      <c r="AG132" s="22"/>
      <c r="AH132" s="22"/>
      <c r="AI132" s="22"/>
      <c r="AJ132" s="22"/>
      <c r="AK132" s="22"/>
      <c r="AL132" s="22"/>
      <c r="AM132" s="22"/>
      <c r="AN132" s="22"/>
      <c r="AO132" s="22"/>
      <c r="AP132" s="22"/>
      <c r="AQ132" s="22"/>
      <c r="AR132" s="22"/>
      <c r="AS132" s="22"/>
      <c r="AT132" s="22"/>
      <c r="AU132" s="22"/>
    </row>
    <row r="133" spans="2:47" ht="15.75" customHeight="1" x14ac:dyDescent="0.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2"/>
      <c r="AG133" s="22"/>
      <c r="AH133" s="22"/>
      <c r="AI133" s="22"/>
      <c r="AJ133" s="22"/>
      <c r="AK133" s="22"/>
      <c r="AL133" s="22"/>
      <c r="AM133" s="22"/>
      <c r="AN133" s="22"/>
      <c r="AO133" s="22"/>
      <c r="AP133" s="22"/>
      <c r="AQ133" s="22"/>
      <c r="AR133" s="22"/>
      <c r="AS133" s="22"/>
      <c r="AT133" s="22"/>
      <c r="AU133" s="22"/>
    </row>
    <row r="134" spans="2:47" ht="15.75" customHeight="1" x14ac:dyDescent="0.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2"/>
      <c r="AG134" s="22"/>
      <c r="AH134" s="22"/>
      <c r="AI134" s="22"/>
      <c r="AJ134" s="22"/>
      <c r="AK134" s="22"/>
      <c r="AL134" s="22"/>
      <c r="AM134" s="22"/>
      <c r="AN134" s="22"/>
      <c r="AO134" s="22"/>
      <c r="AP134" s="22"/>
      <c r="AQ134" s="22"/>
      <c r="AR134" s="22"/>
      <c r="AS134" s="22"/>
      <c r="AT134" s="22"/>
      <c r="AU134" s="22"/>
    </row>
    <row r="135" spans="2:47" ht="15.75" customHeight="1" x14ac:dyDescent="0.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2"/>
      <c r="AG135" s="22"/>
      <c r="AH135" s="22"/>
      <c r="AI135" s="22"/>
      <c r="AJ135" s="22"/>
      <c r="AK135" s="22"/>
      <c r="AL135" s="22"/>
      <c r="AM135" s="22"/>
      <c r="AN135" s="22"/>
      <c r="AO135" s="22"/>
      <c r="AP135" s="22"/>
      <c r="AQ135" s="22"/>
      <c r="AR135" s="22"/>
      <c r="AS135" s="22"/>
      <c r="AT135" s="22"/>
      <c r="AU135" s="22"/>
    </row>
    <row r="136" spans="2:47" ht="15.75" customHeight="1" x14ac:dyDescent="0.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2"/>
      <c r="AG136" s="22"/>
      <c r="AH136" s="22"/>
      <c r="AI136" s="22"/>
      <c r="AJ136" s="22"/>
      <c r="AK136" s="22"/>
      <c r="AL136" s="22"/>
      <c r="AM136" s="22"/>
      <c r="AN136" s="22"/>
      <c r="AO136" s="22"/>
      <c r="AP136" s="22"/>
      <c r="AQ136" s="22"/>
      <c r="AR136" s="22"/>
      <c r="AS136" s="22"/>
      <c r="AT136" s="22"/>
      <c r="AU136" s="22"/>
    </row>
    <row r="137" spans="2:47" ht="15.75" customHeight="1" x14ac:dyDescent="0.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2"/>
      <c r="AG137" s="22"/>
      <c r="AH137" s="22"/>
      <c r="AI137" s="22"/>
      <c r="AJ137" s="22"/>
      <c r="AK137" s="22"/>
      <c r="AL137" s="22"/>
      <c r="AM137" s="22"/>
      <c r="AN137" s="22"/>
      <c r="AO137" s="22"/>
      <c r="AP137" s="22"/>
      <c r="AQ137" s="22"/>
      <c r="AR137" s="22"/>
      <c r="AS137" s="22"/>
      <c r="AT137" s="22"/>
      <c r="AU137" s="22"/>
    </row>
    <row r="138" spans="2:47" ht="15.75" customHeight="1" x14ac:dyDescent="0.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2"/>
      <c r="AG138" s="22"/>
      <c r="AH138" s="22"/>
      <c r="AI138" s="22"/>
      <c r="AJ138" s="22"/>
      <c r="AK138" s="22"/>
      <c r="AL138" s="22"/>
      <c r="AM138" s="22"/>
      <c r="AN138" s="22"/>
      <c r="AO138" s="22"/>
      <c r="AP138" s="22"/>
      <c r="AQ138" s="22"/>
      <c r="AR138" s="22"/>
      <c r="AS138" s="22"/>
      <c r="AT138" s="22"/>
      <c r="AU138" s="22"/>
    </row>
    <row r="139" spans="2:47" ht="15.75" customHeight="1" x14ac:dyDescent="0.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2"/>
      <c r="AG139" s="22"/>
      <c r="AH139" s="22"/>
      <c r="AI139" s="22"/>
      <c r="AJ139" s="22"/>
      <c r="AK139" s="22"/>
      <c r="AL139" s="22"/>
      <c r="AM139" s="22"/>
      <c r="AN139" s="22"/>
      <c r="AO139" s="22"/>
      <c r="AP139" s="22"/>
      <c r="AQ139" s="22"/>
      <c r="AR139" s="22"/>
      <c r="AS139" s="22"/>
      <c r="AT139" s="22"/>
      <c r="AU139" s="22"/>
    </row>
    <row r="140" spans="2:47" ht="15.75" customHeight="1" x14ac:dyDescent="0.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2"/>
      <c r="AG140" s="22"/>
      <c r="AH140" s="22"/>
      <c r="AI140" s="22"/>
      <c r="AJ140" s="22"/>
      <c r="AK140" s="22"/>
      <c r="AL140" s="22"/>
      <c r="AM140" s="22"/>
      <c r="AN140" s="22"/>
      <c r="AO140" s="22"/>
      <c r="AP140" s="22"/>
      <c r="AQ140" s="22"/>
      <c r="AR140" s="22"/>
      <c r="AS140" s="22"/>
      <c r="AT140" s="22"/>
      <c r="AU140" s="22"/>
    </row>
    <row r="141" spans="2:47" ht="15.75" customHeight="1" x14ac:dyDescent="0.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2"/>
      <c r="AG141" s="22"/>
      <c r="AH141" s="22"/>
      <c r="AI141" s="22"/>
      <c r="AJ141" s="22"/>
      <c r="AK141" s="22"/>
      <c r="AL141" s="22"/>
      <c r="AM141" s="22"/>
      <c r="AN141" s="22"/>
      <c r="AO141" s="22"/>
      <c r="AP141" s="22"/>
      <c r="AQ141" s="22"/>
      <c r="AR141" s="22"/>
      <c r="AS141" s="22"/>
      <c r="AT141" s="22"/>
      <c r="AU141" s="22"/>
    </row>
    <row r="142" spans="2:47" ht="15.75" customHeight="1" x14ac:dyDescent="0.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2"/>
      <c r="AG142" s="22"/>
      <c r="AH142" s="22"/>
      <c r="AI142" s="22"/>
      <c r="AJ142" s="22"/>
      <c r="AK142" s="22"/>
      <c r="AL142" s="22"/>
      <c r="AM142" s="22"/>
      <c r="AN142" s="22"/>
      <c r="AO142" s="22"/>
      <c r="AP142" s="22"/>
      <c r="AQ142" s="22"/>
      <c r="AR142" s="22"/>
      <c r="AS142" s="22"/>
      <c r="AT142" s="22"/>
      <c r="AU142" s="22"/>
    </row>
    <row r="143" spans="2:47" ht="15.75" customHeight="1" x14ac:dyDescent="0.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2"/>
      <c r="AG143" s="22"/>
      <c r="AH143" s="22"/>
      <c r="AI143" s="22"/>
      <c r="AJ143" s="22"/>
      <c r="AK143" s="22"/>
      <c r="AL143" s="22"/>
      <c r="AM143" s="22"/>
      <c r="AN143" s="22"/>
      <c r="AO143" s="22"/>
      <c r="AP143" s="22"/>
      <c r="AQ143" s="22"/>
      <c r="AR143" s="22"/>
      <c r="AS143" s="22"/>
      <c r="AT143" s="22"/>
      <c r="AU143" s="22"/>
    </row>
    <row r="144" spans="2:47" ht="15.75" customHeight="1" x14ac:dyDescent="0.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2"/>
      <c r="AG144" s="22"/>
      <c r="AH144" s="22"/>
      <c r="AI144" s="22"/>
      <c r="AJ144" s="22"/>
      <c r="AK144" s="22"/>
      <c r="AL144" s="22"/>
      <c r="AM144" s="22"/>
      <c r="AN144" s="22"/>
      <c r="AO144" s="22"/>
      <c r="AP144" s="22"/>
      <c r="AQ144" s="22"/>
      <c r="AR144" s="22"/>
      <c r="AS144" s="22"/>
      <c r="AT144" s="22"/>
      <c r="AU144" s="22"/>
    </row>
    <row r="145" spans="2:47" ht="15.75" customHeight="1" x14ac:dyDescent="0.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2"/>
      <c r="AG145" s="22"/>
      <c r="AH145" s="22"/>
      <c r="AI145" s="22"/>
      <c r="AJ145" s="22"/>
      <c r="AK145" s="22"/>
      <c r="AL145" s="22"/>
      <c r="AM145" s="22"/>
      <c r="AN145" s="22"/>
      <c r="AO145" s="22"/>
      <c r="AP145" s="22"/>
      <c r="AQ145" s="22"/>
      <c r="AR145" s="22"/>
      <c r="AS145" s="22"/>
      <c r="AT145" s="22"/>
      <c r="AU145" s="22"/>
    </row>
    <row r="146" spans="2:47" ht="15.75" customHeight="1" x14ac:dyDescent="0.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2"/>
      <c r="AG146" s="22"/>
      <c r="AH146" s="22"/>
      <c r="AI146" s="22"/>
      <c r="AJ146" s="22"/>
      <c r="AK146" s="22"/>
      <c r="AL146" s="22"/>
      <c r="AM146" s="22"/>
      <c r="AN146" s="22"/>
      <c r="AO146" s="22"/>
      <c r="AP146" s="22"/>
      <c r="AQ146" s="22"/>
      <c r="AR146" s="22"/>
      <c r="AS146" s="22"/>
      <c r="AT146" s="22"/>
      <c r="AU146" s="22"/>
    </row>
    <row r="147" spans="2:47" ht="15.75" customHeight="1" x14ac:dyDescent="0.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2"/>
      <c r="AG147" s="22"/>
      <c r="AH147" s="22"/>
      <c r="AI147" s="22"/>
      <c r="AJ147" s="22"/>
      <c r="AK147" s="22"/>
      <c r="AL147" s="22"/>
      <c r="AM147" s="22"/>
      <c r="AN147" s="22"/>
      <c r="AO147" s="22"/>
      <c r="AP147" s="22"/>
      <c r="AQ147" s="22"/>
      <c r="AR147" s="22"/>
      <c r="AS147" s="22"/>
      <c r="AT147" s="22"/>
      <c r="AU147" s="22"/>
    </row>
    <row r="148" spans="2:47" ht="15.75" customHeight="1" x14ac:dyDescent="0.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2"/>
      <c r="AG148" s="22"/>
      <c r="AH148" s="22"/>
      <c r="AI148" s="22"/>
      <c r="AJ148" s="22"/>
      <c r="AK148" s="22"/>
      <c r="AL148" s="22"/>
      <c r="AM148" s="22"/>
      <c r="AN148" s="22"/>
      <c r="AO148" s="22"/>
      <c r="AP148" s="22"/>
      <c r="AQ148" s="22"/>
      <c r="AR148" s="22"/>
      <c r="AS148" s="22"/>
      <c r="AT148" s="22"/>
      <c r="AU148" s="22"/>
    </row>
    <row r="149" spans="2:47" ht="15.75" customHeight="1" x14ac:dyDescent="0.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2"/>
      <c r="AG149" s="22"/>
      <c r="AH149" s="22"/>
      <c r="AI149" s="22"/>
      <c r="AJ149" s="22"/>
      <c r="AK149" s="22"/>
      <c r="AL149" s="22"/>
      <c r="AM149" s="22"/>
      <c r="AN149" s="22"/>
      <c r="AO149" s="22"/>
      <c r="AP149" s="22"/>
      <c r="AQ149" s="22"/>
      <c r="AR149" s="22"/>
      <c r="AS149" s="22"/>
      <c r="AT149" s="22"/>
      <c r="AU149" s="22"/>
    </row>
    <row r="150" spans="2:47" ht="15.75" customHeight="1" x14ac:dyDescent="0.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2"/>
      <c r="AG150" s="22"/>
      <c r="AH150" s="22"/>
      <c r="AI150" s="22"/>
      <c r="AJ150" s="22"/>
      <c r="AK150" s="22"/>
      <c r="AL150" s="22"/>
      <c r="AM150" s="22"/>
      <c r="AN150" s="22"/>
      <c r="AO150" s="22"/>
      <c r="AP150" s="22"/>
      <c r="AQ150" s="22"/>
      <c r="AR150" s="22"/>
      <c r="AS150" s="22"/>
      <c r="AT150" s="22"/>
      <c r="AU150" s="22"/>
    </row>
    <row r="151" spans="2:47" ht="15.75" customHeight="1" x14ac:dyDescent="0.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2"/>
      <c r="AG151" s="22"/>
      <c r="AH151" s="22"/>
      <c r="AI151" s="22"/>
      <c r="AJ151" s="22"/>
      <c r="AK151" s="22"/>
      <c r="AL151" s="22"/>
      <c r="AM151" s="22"/>
      <c r="AN151" s="22"/>
      <c r="AO151" s="22"/>
      <c r="AP151" s="22"/>
      <c r="AQ151" s="22"/>
      <c r="AR151" s="22"/>
      <c r="AS151" s="22"/>
      <c r="AT151" s="22"/>
      <c r="AU151" s="22"/>
    </row>
    <row r="152" spans="2:47" ht="15.75" customHeight="1" x14ac:dyDescent="0.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2"/>
      <c r="AG152" s="22"/>
      <c r="AH152" s="22"/>
      <c r="AI152" s="22"/>
      <c r="AJ152" s="22"/>
      <c r="AK152" s="22"/>
      <c r="AL152" s="22"/>
      <c r="AM152" s="22"/>
      <c r="AN152" s="22"/>
      <c r="AO152" s="22"/>
      <c r="AP152" s="22"/>
      <c r="AQ152" s="22"/>
      <c r="AR152" s="22"/>
      <c r="AS152" s="22"/>
      <c r="AT152" s="22"/>
      <c r="AU152" s="22"/>
    </row>
    <row r="153" spans="2:47" ht="15.75" customHeight="1" x14ac:dyDescent="0.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2"/>
      <c r="AG153" s="22"/>
      <c r="AH153" s="22"/>
      <c r="AI153" s="22"/>
      <c r="AJ153" s="22"/>
      <c r="AK153" s="22"/>
      <c r="AL153" s="22"/>
      <c r="AM153" s="22"/>
      <c r="AN153" s="22"/>
      <c r="AO153" s="22"/>
      <c r="AP153" s="22"/>
      <c r="AQ153" s="22"/>
      <c r="AR153" s="22"/>
      <c r="AS153" s="22"/>
      <c r="AT153" s="22"/>
      <c r="AU153" s="22"/>
    </row>
    <row r="154" spans="2:47" ht="15.75" customHeight="1" x14ac:dyDescent="0.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2"/>
      <c r="AG154" s="22"/>
      <c r="AH154" s="22"/>
      <c r="AI154" s="22"/>
      <c r="AJ154" s="22"/>
      <c r="AK154" s="22"/>
      <c r="AL154" s="22"/>
      <c r="AM154" s="22"/>
      <c r="AN154" s="22"/>
      <c r="AO154" s="22"/>
      <c r="AP154" s="22"/>
      <c r="AQ154" s="22"/>
      <c r="AR154" s="22"/>
      <c r="AS154" s="22"/>
      <c r="AT154" s="22"/>
      <c r="AU154" s="22"/>
    </row>
    <row r="155" spans="2:47" ht="15.75" customHeight="1" x14ac:dyDescent="0.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2"/>
      <c r="AG155" s="22"/>
      <c r="AH155" s="22"/>
      <c r="AI155" s="22"/>
      <c r="AJ155" s="22"/>
      <c r="AK155" s="22"/>
      <c r="AL155" s="22"/>
      <c r="AM155" s="22"/>
      <c r="AN155" s="22"/>
      <c r="AO155" s="22"/>
      <c r="AP155" s="22"/>
      <c r="AQ155" s="22"/>
      <c r="AR155" s="22"/>
      <c r="AS155" s="22"/>
      <c r="AT155" s="22"/>
      <c r="AU155" s="22"/>
    </row>
    <row r="156" spans="2:47" ht="15.75" customHeight="1" x14ac:dyDescent="0.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2"/>
      <c r="AG156" s="22"/>
      <c r="AH156" s="22"/>
      <c r="AI156" s="22"/>
      <c r="AJ156" s="22"/>
      <c r="AK156" s="22"/>
      <c r="AL156" s="22"/>
      <c r="AM156" s="22"/>
      <c r="AN156" s="22"/>
      <c r="AO156" s="22"/>
      <c r="AP156" s="22"/>
      <c r="AQ156" s="22"/>
      <c r="AR156" s="22"/>
      <c r="AS156" s="22"/>
      <c r="AT156" s="22"/>
      <c r="AU156" s="22"/>
    </row>
    <row r="157" spans="2:47" ht="15.75" customHeight="1" x14ac:dyDescent="0.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2"/>
      <c r="AG157" s="22"/>
      <c r="AH157" s="22"/>
      <c r="AI157" s="22"/>
      <c r="AJ157" s="22"/>
      <c r="AK157" s="22"/>
      <c r="AL157" s="22"/>
      <c r="AM157" s="22"/>
      <c r="AN157" s="22"/>
      <c r="AO157" s="22"/>
      <c r="AP157" s="22"/>
      <c r="AQ157" s="22"/>
      <c r="AR157" s="22"/>
      <c r="AS157" s="22"/>
      <c r="AT157" s="22"/>
      <c r="AU157" s="22"/>
    </row>
    <row r="158" spans="2:47" ht="15.75" customHeight="1" x14ac:dyDescent="0.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2"/>
      <c r="AG158" s="22"/>
      <c r="AH158" s="22"/>
      <c r="AI158" s="22"/>
      <c r="AJ158" s="22"/>
      <c r="AK158" s="22"/>
      <c r="AL158" s="22"/>
      <c r="AM158" s="22"/>
      <c r="AN158" s="22"/>
      <c r="AO158" s="22"/>
      <c r="AP158" s="22"/>
      <c r="AQ158" s="22"/>
      <c r="AR158" s="22"/>
      <c r="AS158" s="22"/>
      <c r="AT158" s="22"/>
      <c r="AU158" s="22"/>
    </row>
    <row r="159" spans="2:47" ht="15.75" customHeight="1" x14ac:dyDescent="0.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2"/>
      <c r="AG159" s="22"/>
      <c r="AH159" s="22"/>
      <c r="AI159" s="22"/>
      <c r="AJ159" s="22"/>
      <c r="AK159" s="22"/>
      <c r="AL159" s="22"/>
      <c r="AM159" s="22"/>
      <c r="AN159" s="22"/>
      <c r="AO159" s="22"/>
      <c r="AP159" s="22"/>
      <c r="AQ159" s="22"/>
      <c r="AR159" s="22"/>
      <c r="AS159" s="22"/>
      <c r="AT159" s="22"/>
      <c r="AU159" s="22"/>
    </row>
    <row r="160" spans="2:47" ht="15.75" customHeight="1" x14ac:dyDescent="0.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2"/>
      <c r="AG160" s="22"/>
      <c r="AH160" s="22"/>
      <c r="AI160" s="22"/>
      <c r="AJ160" s="22"/>
      <c r="AK160" s="22"/>
      <c r="AL160" s="22"/>
      <c r="AM160" s="22"/>
      <c r="AN160" s="22"/>
      <c r="AO160" s="22"/>
      <c r="AP160" s="22"/>
      <c r="AQ160" s="22"/>
      <c r="AR160" s="22"/>
      <c r="AS160" s="22"/>
      <c r="AT160" s="22"/>
      <c r="AU160" s="22"/>
    </row>
    <row r="161" spans="2:47" ht="15.75" customHeight="1" x14ac:dyDescent="0.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2"/>
      <c r="AG161" s="22"/>
      <c r="AH161" s="22"/>
      <c r="AI161" s="22"/>
      <c r="AJ161" s="22"/>
      <c r="AK161" s="22"/>
      <c r="AL161" s="22"/>
      <c r="AM161" s="22"/>
      <c r="AN161" s="22"/>
      <c r="AO161" s="22"/>
      <c r="AP161" s="22"/>
      <c r="AQ161" s="22"/>
      <c r="AR161" s="22"/>
      <c r="AS161" s="22"/>
      <c r="AT161" s="22"/>
      <c r="AU161" s="22"/>
    </row>
    <row r="162" spans="2:47" ht="15.75" customHeight="1" x14ac:dyDescent="0.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2"/>
      <c r="AG162" s="22"/>
      <c r="AH162" s="22"/>
      <c r="AI162" s="22"/>
      <c r="AJ162" s="22"/>
      <c r="AK162" s="22"/>
      <c r="AL162" s="22"/>
      <c r="AM162" s="22"/>
      <c r="AN162" s="22"/>
      <c r="AO162" s="22"/>
      <c r="AP162" s="22"/>
      <c r="AQ162" s="22"/>
      <c r="AR162" s="22"/>
      <c r="AS162" s="22"/>
      <c r="AT162" s="22"/>
      <c r="AU162" s="22"/>
    </row>
    <row r="163" spans="2:47" ht="15.75" customHeight="1" x14ac:dyDescent="0.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2"/>
      <c r="AG163" s="22"/>
      <c r="AH163" s="22"/>
      <c r="AI163" s="22"/>
      <c r="AJ163" s="22"/>
      <c r="AK163" s="22"/>
      <c r="AL163" s="22"/>
      <c r="AM163" s="22"/>
      <c r="AN163" s="22"/>
      <c r="AO163" s="22"/>
      <c r="AP163" s="22"/>
      <c r="AQ163" s="22"/>
      <c r="AR163" s="22"/>
      <c r="AS163" s="22"/>
      <c r="AT163" s="22"/>
      <c r="AU163" s="22"/>
    </row>
    <row r="164" spans="2:47" ht="15.75" customHeight="1" x14ac:dyDescent="0.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2"/>
      <c r="AG164" s="22"/>
      <c r="AH164" s="22"/>
      <c r="AI164" s="22"/>
      <c r="AJ164" s="22"/>
      <c r="AK164" s="22"/>
      <c r="AL164" s="22"/>
      <c r="AM164" s="22"/>
      <c r="AN164" s="22"/>
      <c r="AO164" s="22"/>
      <c r="AP164" s="22"/>
      <c r="AQ164" s="22"/>
      <c r="AR164" s="22"/>
      <c r="AS164" s="22"/>
      <c r="AT164" s="22"/>
      <c r="AU164" s="22"/>
    </row>
    <row r="165" spans="2:47" ht="15.75" customHeight="1" x14ac:dyDescent="0.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2"/>
      <c r="AG165" s="22"/>
      <c r="AH165" s="22"/>
      <c r="AI165" s="22"/>
      <c r="AJ165" s="22"/>
      <c r="AK165" s="22"/>
      <c r="AL165" s="22"/>
      <c r="AM165" s="22"/>
      <c r="AN165" s="22"/>
      <c r="AO165" s="22"/>
      <c r="AP165" s="22"/>
      <c r="AQ165" s="22"/>
      <c r="AR165" s="22"/>
      <c r="AS165" s="22"/>
      <c r="AT165" s="22"/>
      <c r="AU165" s="22"/>
    </row>
    <row r="166" spans="2:47" ht="15.75" customHeight="1" x14ac:dyDescent="0.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2"/>
      <c r="AG166" s="22"/>
      <c r="AH166" s="22"/>
      <c r="AI166" s="22"/>
      <c r="AJ166" s="22"/>
      <c r="AK166" s="22"/>
      <c r="AL166" s="22"/>
      <c r="AM166" s="22"/>
      <c r="AN166" s="22"/>
      <c r="AO166" s="22"/>
      <c r="AP166" s="22"/>
      <c r="AQ166" s="22"/>
      <c r="AR166" s="22"/>
      <c r="AS166" s="22"/>
      <c r="AT166" s="22"/>
      <c r="AU166" s="22"/>
    </row>
    <row r="167" spans="2:47" ht="15.75" customHeight="1" x14ac:dyDescent="0.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2"/>
      <c r="AG167" s="22"/>
      <c r="AH167" s="22"/>
      <c r="AI167" s="22"/>
      <c r="AJ167" s="22"/>
      <c r="AK167" s="22"/>
      <c r="AL167" s="22"/>
      <c r="AM167" s="22"/>
      <c r="AN167" s="22"/>
      <c r="AO167" s="22"/>
      <c r="AP167" s="22"/>
      <c r="AQ167" s="22"/>
      <c r="AR167" s="22"/>
      <c r="AS167" s="22"/>
      <c r="AT167" s="22"/>
      <c r="AU167" s="22"/>
    </row>
    <row r="168" spans="2:47" ht="15.75" customHeight="1" x14ac:dyDescent="0.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2"/>
      <c r="AG168" s="22"/>
      <c r="AH168" s="22"/>
      <c r="AI168" s="22"/>
      <c r="AJ168" s="22"/>
      <c r="AK168" s="22"/>
      <c r="AL168" s="22"/>
      <c r="AM168" s="22"/>
      <c r="AN168" s="22"/>
      <c r="AO168" s="22"/>
      <c r="AP168" s="22"/>
      <c r="AQ168" s="22"/>
      <c r="AR168" s="22"/>
      <c r="AS168" s="22"/>
      <c r="AT168" s="22"/>
      <c r="AU168" s="22"/>
    </row>
    <row r="169" spans="2:47" ht="15.75" customHeight="1" x14ac:dyDescent="0.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2"/>
      <c r="AG169" s="22"/>
      <c r="AH169" s="22"/>
      <c r="AI169" s="22"/>
      <c r="AJ169" s="22"/>
      <c r="AK169" s="22"/>
      <c r="AL169" s="22"/>
      <c r="AM169" s="22"/>
      <c r="AN169" s="22"/>
      <c r="AO169" s="22"/>
      <c r="AP169" s="22"/>
      <c r="AQ169" s="22"/>
      <c r="AR169" s="22"/>
      <c r="AS169" s="22"/>
      <c r="AT169" s="22"/>
      <c r="AU169" s="22"/>
    </row>
    <row r="170" spans="2:47" ht="15.75" customHeight="1" x14ac:dyDescent="0.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2"/>
      <c r="AG170" s="22"/>
      <c r="AH170" s="22"/>
      <c r="AI170" s="22"/>
      <c r="AJ170" s="22"/>
      <c r="AK170" s="22"/>
      <c r="AL170" s="22"/>
      <c r="AM170" s="22"/>
      <c r="AN170" s="22"/>
      <c r="AO170" s="22"/>
      <c r="AP170" s="22"/>
      <c r="AQ170" s="22"/>
      <c r="AR170" s="22"/>
      <c r="AS170" s="22"/>
      <c r="AT170" s="22"/>
      <c r="AU170" s="22"/>
    </row>
    <row r="171" spans="2:47" ht="15.75" customHeight="1" x14ac:dyDescent="0.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2"/>
      <c r="AG171" s="22"/>
      <c r="AH171" s="22"/>
      <c r="AI171" s="22"/>
      <c r="AJ171" s="22"/>
      <c r="AK171" s="22"/>
      <c r="AL171" s="22"/>
      <c r="AM171" s="22"/>
      <c r="AN171" s="22"/>
      <c r="AO171" s="22"/>
      <c r="AP171" s="22"/>
      <c r="AQ171" s="22"/>
      <c r="AR171" s="22"/>
      <c r="AS171" s="22"/>
      <c r="AT171" s="22"/>
      <c r="AU171" s="22"/>
    </row>
    <row r="172" spans="2:47" ht="15.75" customHeight="1" x14ac:dyDescent="0.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2"/>
      <c r="AG172" s="22"/>
      <c r="AH172" s="22"/>
      <c r="AI172" s="22"/>
      <c r="AJ172" s="22"/>
      <c r="AK172" s="22"/>
      <c r="AL172" s="22"/>
      <c r="AM172" s="22"/>
      <c r="AN172" s="22"/>
      <c r="AO172" s="22"/>
      <c r="AP172" s="22"/>
      <c r="AQ172" s="22"/>
      <c r="AR172" s="22"/>
      <c r="AS172" s="22"/>
      <c r="AT172" s="22"/>
      <c r="AU172" s="22"/>
    </row>
    <row r="173" spans="2:47" ht="15.75" customHeight="1" x14ac:dyDescent="0.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2"/>
      <c r="AG173" s="22"/>
      <c r="AH173" s="22"/>
      <c r="AI173" s="22"/>
      <c r="AJ173" s="22"/>
      <c r="AK173" s="22"/>
      <c r="AL173" s="22"/>
      <c r="AM173" s="22"/>
      <c r="AN173" s="22"/>
      <c r="AO173" s="22"/>
      <c r="AP173" s="22"/>
      <c r="AQ173" s="22"/>
      <c r="AR173" s="22"/>
      <c r="AS173" s="22"/>
      <c r="AT173" s="22"/>
      <c r="AU173" s="22"/>
    </row>
    <row r="174" spans="2:47" ht="15.75" customHeight="1" x14ac:dyDescent="0.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2"/>
      <c r="AG174" s="22"/>
      <c r="AH174" s="22"/>
      <c r="AI174" s="22"/>
      <c r="AJ174" s="22"/>
      <c r="AK174" s="22"/>
      <c r="AL174" s="22"/>
      <c r="AM174" s="22"/>
      <c r="AN174" s="22"/>
      <c r="AO174" s="22"/>
      <c r="AP174" s="22"/>
      <c r="AQ174" s="22"/>
      <c r="AR174" s="22"/>
      <c r="AS174" s="22"/>
      <c r="AT174" s="22"/>
      <c r="AU174" s="22"/>
    </row>
    <row r="175" spans="2:47" ht="15.75" customHeight="1" x14ac:dyDescent="0.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2"/>
      <c r="AG175" s="22"/>
      <c r="AH175" s="22"/>
      <c r="AI175" s="22"/>
      <c r="AJ175" s="22"/>
      <c r="AK175" s="22"/>
      <c r="AL175" s="22"/>
      <c r="AM175" s="22"/>
      <c r="AN175" s="22"/>
      <c r="AO175" s="22"/>
      <c r="AP175" s="22"/>
      <c r="AQ175" s="22"/>
      <c r="AR175" s="22"/>
      <c r="AS175" s="22"/>
      <c r="AT175" s="22"/>
      <c r="AU175" s="22"/>
    </row>
    <row r="176" spans="2:47" ht="15.75" customHeight="1" x14ac:dyDescent="0.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2"/>
      <c r="AG176" s="22"/>
      <c r="AH176" s="22"/>
      <c r="AI176" s="22"/>
      <c r="AJ176" s="22"/>
      <c r="AK176" s="22"/>
      <c r="AL176" s="22"/>
      <c r="AM176" s="22"/>
      <c r="AN176" s="22"/>
      <c r="AO176" s="22"/>
      <c r="AP176" s="22"/>
      <c r="AQ176" s="22"/>
      <c r="AR176" s="22"/>
      <c r="AS176" s="22"/>
      <c r="AT176" s="22"/>
      <c r="AU176" s="22"/>
    </row>
    <row r="177" spans="2:47" ht="15.75" customHeight="1" x14ac:dyDescent="0.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2"/>
      <c r="AG177" s="22"/>
      <c r="AH177" s="22"/>
      <c r="AI177" s="22"/>
      <c r="AJ177" s="22"/>
      <c r="AK177" s="22"/>
      <c r="AL177" s="22"/>
      <c r="AM177" s="22"/>
      <c r="AN177" s="22"/>
      <c r="AO177" s="22"/>
      <c r="AP177" s="22"/>
      <c r="AQ177" s="22"/>
      <c r="AR177" s="22"/>
      <c r="AS177" s="22"/>
      <c r="AT177" s="22"/>
      <c r="AU177" s="22"/>
    </row>
    <row r="178" spans="2:47" ht="15.75" customHeight="1" x14ac:dyDescent="0.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2"/>
      <c r="AG178" s="22"/>
      <c r="AH178" s="22"/>
      <c r="AI178" s="22"/>
      <c r="AJ178" s="22"/>
      <c r="AK178" s="22"/>
      <c r="AL178" s="22"/>
      <c r="AM178" s="22"/>
      <c r="AN178" s="22"/>
      <c r="AO178" s="22"/>
      <c r="AP178" s="22"/>
      <c r="AQ178" s="22"/>
      <c r="AR178" s="22"/>
      <c r="AS178" s="22"/>
      <c r="AT178" s="22"/>
      <c r="AU178" s="22"/>
    </row>
    <row r="179" spans="2:47" ht="15.75" customHeight="1" x14ac:dyDescent="0.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2"/>
      <c r="AG179" s="22"/>
      <c r="AH179" s="22"/>
      <c r="AI179" s="22"/>
      <c r="AJ179" s="22"/>
      <c r="AK179" s="22"/>
      <c r="AL179" s="22"/>
      <c r="AM179" s="22"/>
      <c r="AN179" s="22"/>
      <c r="AO179" s="22"/>
      <c r="AP179" s="22"/>
      <c r="AQ179" s="22"/>
      <c r="AR179" s="22"/>
      <c r="AS179" s="22"/>
      <c r="AT179" s="22"/>
      <c r="AU179" s="22"/>
    </row>
    <row r="180" spans="2:47" ht="15.75" customHeight="1" x14ac:dyDescent="0.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2"/>
      <c r="AG180" s="22"/>
      <c r="AH180" s="22"/>
      <c r="AI180" s="22"/>
      <c r="AJ180" s="22"/>
      <c r="AK180" s="22"/>
      <c r="AL180" s="22"/>
      <c r="AM180" s="22"/>
      <c r="AN180" s="22"/>
      <c r="AO180" s="22"/>
      <c r="AP180" s="22"/>
      <c r="AQ180" s="22"/>
      <c r="AR180" s="22"/>
      <c r="AS180" s="22"/>
      <c r="AT180" s="22"/>
      <c r="AU180" s="22"/>
    </row>
    <row r="181" spans="2:47" ht="15.75" customHeight="1" x14ac:dyDescent="0.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2"/>
      <c r="AG181" s="22"/>
      <c r="AH181" s="22"/>
      <c r="AI181" s="22"/>
      <c r="AJ181" s="22"/>
      <c r="AK181" s="22"/>
      <c r="AL181" s="22"/>
      <c r="AM181" s="22"/>
      <c r="AN181" s="22"/>
      <c r="AO181" s="22"/>
      <c r="AP181" s="22"/>
      <c r="AQ181" s="22"/>
      <c r="AR181" s="22"/>
      <c r="AS181" s="22"/>
      <c r="AT181" s="22"/>
      <c r="AU181" s="22"/>
    </row>
    <row r="182" spans="2:47" ht="15.75" customHeight="1" x14ac:dyDescent="0.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2"/>
      <c r="AG182" s="22"/>
      <c r="AH182" s="22"/>
      <c r="AI182" s="22"/>
      <c r="AJ182" s="22"/>
      <c r="AK182" s="22"/>
      <c r="AL182" s="22"/>
      <c r="AM182" s="22"/>
      <c r="AN182" s="22"/>
      <c r="AO182" s="22"/>
      <c r="AP182" s="22"/>
      <c r="AQ182" s="22"/>
      <c r="AR182" s="22"/>
      <c r="AS182" s="22"/>
      <c r="AT182" s="22"/>
      <c r="AU182" s="22"/>
    </row>
    <row r="183" spans="2:47" ht="15.75" customHeight="1" x14ac:dyDescent="0.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2"/>
      <c r="AG183" s="22"/>
      <c r="AH183" s="22"/>
      <c r="AI183" s="22"/>
      <c r="AJ183" s="22"/>
      <c r="AK183" s="22"/>
      <c r="AL183" s="22"/>
      <c r="AM183" s="22"/>
      <c r="AN183" s="22"/>
      <c r="AO183" s="22"/>
      <c r="AP183" s="22"/>
      <c r="AQ183" s="22"/>
      <c r="AR183" s="22"/>
      <c r="AS183" s="22"/>
      <c r="AT183" s="22"/>
      <c r="AU183" s="22"/>
    </row>
    <row r="184" spans="2:47" ht="15.75" customHeight="1" x14ac:dyDescent="0.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2"/>
      <c r="AG184" s="22"/>
      <c r="AH184" s="22"/>
      <c r="AI184" s="22"/>
      <c r="AJ184" s="22"/>
      <c r="AK184" s="22"/>
      <c r="AL184" s="22"/>
      <c r="AM184" s="22"/>
      <c r="AN184" s="22"/>
      <c r="AO184" s="22"/>
      <c r="AP184" s="22"/>
      <c r="AQ184" s="22"/>
      <c r="AR184" s="22"/>
      <c r="AS184" s="22"/>
      <c r="AT184" s="22"/>
      <c r="AU184" s="22"/>
    </row>
    <row r="185" spans="2:47" ht="15.75" customHeight="1" x14ac:dyDescent="0.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2"/>
      <c r="AG185" s="22"/>
      <c r="AH185" s="22"/>
      <c r="AI185" s="22"/>
      <c r="AJ185" s="22"/>
      <c r="AK185" s="22"/>
      <c r="AL185" s="22"/>
      <c r="AM185" s="22"/>
      <c r="AN185" s="22"/>
      <c r="AO185" s="22"/>
      <c r="AP185" s="22"/>
      <c r="AQ185" s="22"/>
      <c r="AR185" s="22"/>
      <c r="AS185" s="22"/>
      <c r="AT185" s="22"/>
      <c r="AU185" s="22"/>
    </row>
    <row r="186" spans="2:47" ht="15.75" customHeight="1" x14ac:dyDescent="0.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2"/>
      <c r="AG186" s="22"/>
      <c r="AH186" s="22"/>
      <c r="AI186" s="22"/>
      <c r="AJ186" s="22"/>
      <c r="AK186" s="22"/>
      <c r="AL186" s="22"/>
      <c r="AM186" s="22"/>
      <c r="AN186" s="22"/>
      <c r="AO186" s="22"/>
      <c r="AP186" s="22"/>
      <c r="AQ186" s="22"/>
      <c r="AR186" s="22"/>
      <c r="AS186" s="22"/>
      <c r="AT186" s="22"/>
      <c r="AU186" s="22"/>
    </row>
    <row r="187" spans="2:47" ht="15.75" customHeight="1" x14ac:dyDescent="0.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2"/>
      <c r="AG187" s="22"/>
      <c r="AH187" s="22"/>
      <c r="AI187" s="22"/>
      <c r="AJ187" s="22"/>
      <c r="AK187" s="22"/>
      <c r="AL187" s="22"/>
      <c r="AM187" s="22"/>
      <c r="AN187" s="22"/>
      <c r="AO187" s="22"/>
      <c r="AP187" s="22"/>
      <c r="AQ187" s="22"/>
      <c r="AR187" s="22"/>
      <c r="AS187" s="22"/>
      <c r="AT187" s="22"/>
      <c r="AU187" s="22"/>
    </row>
    <row r="188" spans="2:47" ht="15.75" customHeight="1" x14ac:dyDescent="0.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2"/>
      <c r="AG188" s="22"/>
      <c r="AH188" s="22"/>
      <c r="AI188" s="22"/>
      <c r="AJ188" s="22"/>
      <c r="AK188" s="22"/>
      <c r="AL188" s="22"/>
      <c r="AM188" s="22"/>
      <c r="AN188" s="22"/>
      <c r="AO188" s="22"/>
      <c r="AP188" s="22"/>
      <c r="AQ188" s="22"/>
      <c r="AR188" s="22"/>
      <c r="AS188" s="22"/>
      <c r="AT188" s="22"/>
      <c r="AU188" s="22"/>
    </row>
    <row r="189" spans="2:47" ht="15.75" customHeight="1" x14ac:dyDescent="0.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2"/>
      <c r="AG189" s="22"/>
      <c r="AH189" s="22"/>
      <c r="AI189" s="22"/>
      <c r="AJ189" s="22"/>
      <c r="AK189" s="22"/>
      <c r="AL189" s="22"/>
      <c r="AM189" s="22"/>
      <c r="AN189" s="22"/>
      <c r="AO189" s="22"/>
      <c r="AP189" s="22"/>
      <c r="AQ189" s="22"/>
      <c r="AR189" s="22"/>
      <c r="AS189" s="22"/>
      <c r="AT189" s="22"/>
      <c r="AU189" s="22"/>
    </row>
    <row r="190" spans="2:47" ht="15.75" customHeight="1" x14ac:dyDescent="0.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2"/>
      <c r="AG190" s="22"/>
      <c r="AH190" s="22"/>
      <c r="AI190" s="22"/>
      <c r="AJ190" s="22"/>
      <c r="AK190" s="22"/>
      <c r="AL190" s="22"/>
      <c r="AM190" s="22"/>
      <c r="AN190" s="22"/>
      <c r="AO190" s="22"/>
      <c r="AP190" s="22"/>
      <c r="AQ190" s="22"/>
      <c r="AR190" s="22"/>
      <c r="AS190" s="22"/>
      <c r="AT190" s="22"/>
      <c r="AU190" s="22"/>
    </row>
    <row r="191" spans="2:47" ht="15.75" customHeight="1" x14ac:dyDescent="0.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2"/>
      <c r="AG191" s="22"/>
      <c r="AH191" s="22"/>
      <c r="AI191" s="22"/>
      <c r="AJ191" s="22"/>
      <c r="AK191" s="22"/>
      <c r="AL191" s="22"/>
      <c r="AM191" s="22"/>
      <c r="AN191" s="22"/>
      <c r="AO191" s="22"/>
      <c r="AP191" s="22"/>
      <c r="AQ191" s="22"/>
      <c r="AR191" s="22"/>
      <c r="AS191" s="22"/>
      <c r="AT191" s="22"/>
      <c r="AU191" s="22"/>
    </row>
    <row r="192" spans="2:47" ht="15.75" customHeight="1" x14ac:dyDescent="0.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2"/>
      <c r="AG192" s="22"/>
      <c r="AH192" s="22"/>
      <c r="AI192" s="22"/>
      <c r="AJ192" s="22"/>
      <c r="AK192" s="22"/>
      <c r="AL192" s="22"/>
      <c r="AM192" s="22"/>
      <c r="AN192" s="22"/>
      <c r="AO192" s="22"/>
      <c r="AP192" s="22"/>
      <c r="AQ192" s="22"/>
      <c r="AR192" s="22"/>
      <c r="AS192" s="22"/>
      <c r="AT192" s="22"/>
      <c r="AU192" s="22"/>
    </row>
    <row r="193" spans="2:47" ht="15.75" customHeight="1" x14ac:dyDescent="0.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2"/>
      <c r="AG193" s="22"/>
      <c r="AH193" s="22"/>
      <c r="AI193" s="22"/>
      <c r="AJ193" s="22"/>
      <c r="AK193" s="22"/>
      <c r="AL193" s="22"/>
      <c r="AM193" s="22"/>
      <c r="AN193" s="22"/>
      <c r="AO193" s="22"/>
      <c r="AP193" s="22"/>
      <c r="AQ193" s="22"/>
      <c r="AR193" s="22"/>
      <c r="AS193" s="22"/>
      <c r="AT193" s="22"/>
      <c r="AU193" s="22"/>
    </row>
    <row r="194" spans="2:47" ht="15.75" customHeight="1" x14ac:dyDescent="0.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2"/>
      <c r="AG194" s="22"/>
      <c r="AH194" s="22"/>
      <c r="AI194" s="22"/>
      <c r="AJ194" s="22"/>
      <c r="AK194" s="22"/>
      <c r="AL194" s="22"/>
      <c r="AM194" s="22"/>
      <c r="AN194" s="22"/>
      <c r="AO194" s="22"/>
      <c r="AP194" s="22"/>
      <c r="AQ194" s="22"/>
      <c r="AR194" s="22"/>
      <c r="AS194" s="22"/>
      <c r="AT194" s="22"/>
      <c r="AU194" s="22"/>
    </row>
    <row r="195" spans="2:47" ht="15.75" customHeight="1" x14ac:dyDescent="0.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2"/>
      <c r="AG195" s="22"/>
      <c r="AH195" s="22"/>
      <c r="AI195" s="22"/>
      <c r="AJ195" s="22"/>
      <c r="AK195" s="22"/>
      <c r="AL195" s="22"/>
      <c r="AM195" s="22"/>
      <c r="AN195" s="22"/>
      <c r="AO195" s="22"/>
      <c r="AP195" s="22"/>
      <c r="AQ195" s="22"/>
      <c r="AR195" s="22"/>
      <c r="AS195" s="22"/>
      <c r="AT195" s="22"/>
      <c r="AU195" s="22"/>
    </row>
    <row r="196" spans="2:47" ht="15.75" customHeight="1" x14ac:dyDescent="0.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2"/>
      <c r="AG196" s="22"/>
      <c r="AH196" s="22"/>
      <c r="AI196" s="22"/>
      <c r="AJ196" s="22"/>
      <c r="AK196" s="22"/>
      <c r="AL196" s="22"/>
      <c r="AM196" s="22"/>
      <c r="AN196" s="22"/>
      <c r="AO196" s="22"/>
      <c r="AP196" s="22"/>
      <c r="AQ196" s="22"/>
      <c r="AR196" s="22"/>
      <c r="AS196" s="22"/>
      <c r="AT196" s="22"/>
      <c r="AU196" s="22"/>
    </row>
    <row r="197" spans="2:47" ht="15.75" customHeight="1" x14ac:dyDescent="0.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2"/>
      <c r="AG197" s="22"/>
      <c r="AH197" s="22"/>
      <c r="AI197" s="22"/>
      <c r="AJ197" s="22"/>
      <c r="AK197" s="22"/>
      <c r="AL197" s="22"/>
      <c r="AM197" s="22"/>
      <c r="AN197" s="22"/>
      <c r="AO197" s="22"/>
      <c r="AP197" s="22"/>
      <c r="AQ197" s="22"/>
      <c r="AR197" s="22"/>
      <c r="AS197" s="22"/>
      <c r="AT197" s="22"/>
      <c r="AU197" s="22"/>
    </row>
    <row r="198" spans="2:47" ht="15.75" customHeight="1" x14ac:dyDescent="0.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2"/>
      <c r="AG198" s="22"/>
      <c r="AH198" s="22"/>
      <c r="AI198" s="22"/>
      <c r="AJ198" s="22"/>
      <c r="AK198" s="22"/>
      <c r="AL198" s="22"/>
      <c r="AM198" s="22"/>
      <c r="AN198" s="22"/>
      <c r="AO198" s="22"/>
      <c r="AP198" s="22"/>
      <c r="AQ198" s="22"/>
      <c r="AR198" s="22"/>
      <c r="AS198" s="22"/>
      <c r="AT198" s="22"/>
      <c r="AU198" s="22"/>
    </row>
    <row r="199" spans="2:47" ht="15.75" customHeight="1" x14ac:dyDescent="0.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2"/>
      <c r="AG199" s="22"/>
      <c r="AH199" s="22"/>
      <c r="AI199" s="22"/>
      <c r="AJ199" s="22"/>
      <c r="AK199" s="22"/>
      <c r="AL199" s="22"/>
      <c r="AM199" s="22"/>
      <c r="AN199" s="22"/>
      <c r="AO199" s="22"/>
      <c r="AP199" s="22"/>
      <c r="AQ199" s="22"/>
      <c r="AR199" s="22"/>
      <c r="AS199" s="22"/>
      <c r="AT199" s="22"/>
      <c r="AU199" s="22"/>
    </row>
    <row r="200" spans="2:47" ht="15.75" customHeight="1" x14ac:dyDescent="0.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2"/>
      <c r="AG200" s="22"/>
      <c r="AH200" s="22"/>
      <c r="AI200" s="22"/>
      <c r="AJ200" s="22"/>
      <c r="AK200" s="22"/>
      <c r="AL200" s="22"/>
      <c r="AM200" s="22"/>
      <c r="AN200" s="22"/>
      <c r="AO200" s="22"/>
      <c r="AP200" s="22"/>
      <c r="AQ200" s="22"/>
      <c r="AR200" s="22"/>
      <c r="AS200" s="22"/>
      <c r="AT200" s="22"/>
      <c r="AU200" s="22"/>
    </row>
    <row r="201" spans="2:47" ht="15.75" customHeight="1" x14ac:dyDescent="0.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2"/>
      <c r="AG201" s="22"/>
      <c r="AH201" s="22"/>
      <c r="AI201" s="22"/>
      <c r="AJ201" s="22"/>
      <c r="AK201" s="22"/>
      <c r="AL201" s="22"/>
      <c r="AM201" s="22"/>
      <c r="AN201" s="22"/>
      <c r="AO201" s="22"/>
      <c r="AP201" s="22"/>
      <c r="AQ201" s="22"/>
      <c r="AR201" s="22"/>
      <c r="AS201" s="22"/>
      <c r="AT201" s="22"/>
      <c r="AU201" s="22"/>
    </row>
    <row r="202" spans="2:47" ht="15.75" customHeight="1" x14ac:dyDescent="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2"/>
      <c r="AG202" s="22"/>
      <c r="AH202" s="22"/>
      <c r="AI202" s="22"/>
      <c r="AJ202" s="22"/>
      <c r="AK202" s="22"/>
      <c r="AL202" s="22"/>
      <c r="AM202" s="22"/>
      <c r="AN202" s="22"/>
      <c r="AO202" s="22"/>
      <c r="AP202" s="22"/>
      <c r="AQ202" s="22"/>
      <c r="AR202" s="22"/>
      <c r="AS202" s="22"/>
      <c r="AT202" s="22"/>
      <c r="AU202" s="22"/>
    </row>
    <row r="203" spans="2:47" ht="15.75" customHeight="1" x14ac:dyDescent="0.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2"/>
      <c r="AG203" s="22"/>
      <c r="AH203" s="22"/>
      <c r="AI203" s="22"/>
      <c r="AJ203" s="22"/>
      <c r="AK203" s="22"/>
      <c r="AL203" s="22"/>
      <c r="AM203" s="22"/>
      <c r="AN203" s="22"/>
      <c r="AO203" s="22"/>
      <c r="AP203" s="22"/>
      <c r="AQ203" s="22"/>
      <c r="AR203" s="22"/>
      <c r="AS203" s="22"/>
      <c r="AT203" s="22"/>
      <c r="AU203" s="22"/>
    </row>
    <row r="204" spans="2:47" ht="15.75" customHeight="1" x14ac:dyDescent="0.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2"/>
      <c r="AG204" s="22"/>
      <c r="AH204" s="22"/>
      <c r="AI204" s="22"/>
      <c r="AJ204" s="22"/>
      <c r="AK204" s="22"/>
      <c r="AL204" s="22"/>
      <c r="AM204" s="22"/>
      <c r="AN204" s="22"/>
      <c r="AO204" s="22"/>
      <c r="AP204" s="22"/>
      <c r="AQ204" s="22"/>
      <c r="AR204" s="22"/>
      <c r="AS204" s="22"/>
      <c r="AT204" s="22"/>
      <c r="AU204" s="22"/>
    </row>
    <row r="205" spans="2:47" ht="15.75" customHeight="1" x14ac:dyDescent="0.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2"/>
      <c r="AG205" s="22"/>
      <c r="AH205" s="22"/>
      <c r="AI205" s="22"/>
      <c r="AJ205" s="22"/>
      <c r="AK205" s="22"/>
      <c r="AL205" s="22"/>
      <c r="AM205" s="22"/>
      <c r="AN205" s="22"/>
      <c r="AO205" s="22"/>
      <c r="AP205" s="22"/>
      <c r="AQ205" s="22"/>
      <c r="AR205" s="22"/>
      <c r="AS205" s="22"/>
      <c r="AT205" s="22"/>
      <c r="AU205" s="22"/>
    </row>
    <row r="206" spans="2:47" ht="15.75" customHeight="1" x14ac:dyDescent="0.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2"/>
      <c r="AG206" s="22"/>
      <c r="AH206" s="22"/>
      <c r="AI206" s="22"/>
      <c r="AJ206" s="22"/>
      <c r="AK206" s="22"/>
      <c r="AL206" s="22"/>
      <c r="AM206" s="22"/>
      <c r="AN206" s="22"/>
      <c r="AO206" s="22"/>
      <c r="AP206" s="22"/>
      <c r="AQ206" s="22"/>
      <c r="AR206" s="22"/>
      <c r="AS206" s="22"/>
      <c r="AT206" s="22"/>
      <c r="AU206" s="22"/>
    </row>
    <row r="207" spans="2:47" ht="15.75" customHeight="1" x14ac:dyDescent="0.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2"/>
      <c r="AG207" s="22"/>
      <c r="AH207" s="22"/>
      <c r="AI207" s="22"/>
      <c r="AJ207" s="22"/>
      <c r="AK207" s="22"/>
      <c r="AL207" s="22"/>
      <c r="AM207" s="22"/>
      <c r="AN207" s="22"/>
      <c r="AO207" s="22"/>
      <c r="AP207" s="22"/>
      <c r="AQ207" s="22"/>
      <c r="AR207" s="22"/>
      <c r="AS207" s="22"/>
      <c r="AT207" s="22"/>
      <c r="AU207" s="22"/>
    </row>
    <row r="208" spans="2:47" ht="15.75" customHeight="1" x14ac:dyDescent="0.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2"/>
      <c r="AG208" s="22"/>
      <c r="AH208" s="22"/>
      <c r="AI208" s="22"/>
      <c r="AJ208" s="22"/>
      <c r="AK208" s="22"/>
      <c r="AL208" s="22"/>
      <c r="AM208" s="22"/>
      <c r="AN208" s="22"/>
      <c r="AO208" s="22"/>
      <c r="AP208" s="22"/>
      <c r="AQ208" s="22"/>
      <c r="AR208" s="22"/>
      <c r="AS208" s="22"/>
      <c r="AT208" s="22"/>
      <c r="AU208" s="22"/>
    </row>
    <row r="209" spans="2:47" ht="15.75" customHeight="1" x14ac:dyDescent="0.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2"/>
      <c r="AG209" s="22"/>
      <c r="AH209" s="22"/>
      <c r="AI209" s="22"/>
      <c r="AJ209" s="22"/>
      <c r="AK209" s="22"/>
      <c r="AL209" s="22"/>
      <c r="AM209" s="22"/>
      <c r="AN209" s="22"/>
      <c r="AO209" s="22"/>
      <c r="AP209" s="22"/>
      <c r="AQ209" s="22"/>
      <c r="AR209" s="22"/>
      <c r="AS209" s="22"/>
      <c r="AT209" s="22"/>
      <c r="AU209" s="22"/>
    </row>
    <row r="210" spans="2:47" ht="15.75" customHeight="1" x14ac:dyDescent="0.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2"/>
      <c r="AG210" s="22"/>
      <c r="AH210" s="22"/>
      <c r="AI210" s="22"/>
      <c r="AJ210" s="22"/>
      <c r="AK210" s="22"/>
      <c r="AL210" s="22"/>
      <c r="AM210" s="22"/>
      <c r="AN210" s="22"/>
      <c r="AO210" s="22"/>
      <c r="AP210" s="22"/>
      <c r="AQ210" s="22"/>
      <c r="AR210" s="22"/>
      <c r="AS210" s="22"/>
      <c r="AT210" s="22"/>
      <c r="AU210" s="22"/>
    </row>
    <row r="211" spans="2:47" ht="15.75" customHeight="1" x14ac:dyDescent="0.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2"/>
      <c r="AG211" s="22"/>
      <c r="AH211" s="22"/>
      <c r="AI211" s="22"/>
      <c r="AJ211" s="22"/>
      <c r="AK211" s="22"/>
      <c r="AL211" s="22"/>
      <c r="AM211" s="22"/>
      <c r="AN211" s="22"/>
      <c r="AO211" s="22"/>
      <c r="AP211" s="22"/>
      <c r="AQ211" s="22"/>
      <c r="AR211" s="22"/>
      <c r="AS211" s="22"/>
      <c r="AT211" s="22"/>
      <c r="AU211" s="22"/>
    </row>
    <row r="212" spans="2:47" ht="15.75" customHeight="1" x14ac:dyDescent="0.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2"/>
      <c r="AG212" s="22"/>
      <c r="AH212" s="22"/>
      <c r="AI212" s="22"/>
      <c r="AJ212" s="22"/>
      <c r="AK212" s="22"/>
      <c r="AL212" s="22"/>
      <c r="AM212" s="22"/>
      <c r="AN212" s="22"/>
      <c r="AO212" s="22"/>
      <c r="AP212" s="22"/>
      <c r="AQ212" s="22"/>
      <c r="AR212" s="22"/>
      <c r="AS212" s="22"/>
      <c r="AT212" s="22"/>
      <c r="AU212" s="22"/>
    </row>
    <row r="213" spans="2:47" ht="15.75" customHeight="1" x14ac:dyDescent="0.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2"/>
      <c r="AG213" s="22"/>
      <c r="AH213" s="22"/>
      <c r="AI213" s="22"/>
      <c r="AJ213" s="22"/>
      <c r="AK213" s="22"/>
      <c r="AL213" s="22"/>
      <c r="AM213" s="22"/>
      <c r="AN213" s="22"/>
      <c r="AO213" s="22"/>
      <c r="AP213" s="22"/>
      <c r="AQ213" s="22"/>
      <c r="AR213" s="22"/>
      <c r="AS213" s="22"/>
      <c r="AT213" s="22"/>
      <c r="AU213" s="22"/>
    </row>
    <row r="214" spans="2:47" ht="15.75" customHeight="1" x14ac:dyDescent="0.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2"/>
      <c r="AG214" s="22"/>
      <c r="AH214" s="22"/>
      <c r="AI214" s="22"/>
      <c r="AJ214" s="22"/>
      <c r="AK214" s="22"/>
      <c r="AL214" s="22"/>
      <c r="AM214" s="22"/>
      <c r="AN214" s="22"/>
      <c r="AO214" s="22"/>
      <c r="AP214" s="22"/>
      <c r="AQ214" s="22"/>
      <c r="AR214" s="22"/>
      <c r="AS214" s="22"/>
      <c r="AT214" s="22"/>
      <c r="AU214" s="22"/>
    </row>
    <row r="215" spans="2:47" ht="15.75" customHeight="1" x14ac:dyDescent="0.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2"/>
      <c r="AG215" s="22"/>
      <c r="AH215" s="22"/>
      <c r="AI215" s="22"/>
      <c r="AJ215" s="22"/>
      <c r="AK215" s="22"/>
      <c r="AL215" s="22"/>
      <c r="AM215" s="22"/>
      <c r="AN215" s="22"/>
      <c r="AO215" s="22"/>
      <c r="AP215" s="22"/>
      <c r="AQ215" s="22"/>
      <c r="AR215" s="22"/>
      <c r="AS215" s="22"/>
      <c r="AT215" s="22"/>
      <c r="AU215" s="22"/>
    </row>
    <row r="216" spans="2:47" ht="15.75" customHeight="1" x14ac:dyDescent="0.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2"/>
      <c r="AG216" s="22"/>
      <c r="AH216" s="22"/>
      <c r="AI216" s="22"/>
      <c r="AJ216" s="22"/>
      <c r="AK216" s="22"/>
      <c r="AL216" s="22"/>
      <c r="AM216" s="22"/>
      <c r="AN216" s="22"/>
      <c r="AO216" s="22"/>
      <c r="AP216" s="22"/>
      <c r="AQ216" s="22"/>
      <c r="AR216" s="22"/>
      <c r="AS216" s="22"/>
      <c r="AT216" s="22"/>
      <c r="AU216" s="22"/>
    </row>
    <row r="217" spans="2:47" ht="15.75" customHeight="1" x14ac:dyDescent="0.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2"/>
      <c r="AG217" s="22"/>
      <c r="AH217" s="22"/>
      <c r="AI217" s="22"/>
      <c r="AJ217" s="22"/>
      <c r="AK217" s="22"/>
      <c r="AL217" s="22"/>
      <c r="AM217" s="22"/>
      <c r="AN217" s="22"/>
      <c r="AO217" s="22"/>
      <c r="AP217" s="22"/>
      <c r="AQ217" s="22"/>
      <c r="AR217" s="22"/>
      <c r="AS217" s="22"/>
      <c r="AT217" s="22"/>
      <c r="AU217" s="22"/>
    </row>
    <row r="218" spans="2:47" ht="15.75" customHeight="1" x14ac:dyDescent="0.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2"/>
      <c r="AG218" s="22"/>
      <c r="AH218" s="22"/>
      <c r="AI218" s="22"/>
      <c r="AJ218" s="22"/>
      <c r="AK218" s="22"/>
      <c r="AL218" s="22"/>
      <c r="AM218" s="22"/>
      <c r="AN218" s="22"/>
      <c r="AO218" s="22"/>
      <c r="AP218" s="22"/>
      <c r="AQ218" s="22"/>
      <c r="AR218" s="22"/>
      <c r="AS218" s="22"/>
      <c r="AT218" s="22"/>
      <c r="AU218" s="22"/>
    </row>
    <row r="219" spans="2:47" ht="15.75" customHeight="1" x14ac:dyDescent="0.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2"/>
      <c r="AG219" s="22"/>
      <c r="AH219" s="22"/>
      <c r="AI219" s="22"/>
      <c r="AJ219" s="22"/>
      <c r="AK219" s="22"/>
      <c r="AL219" s="22"/>
      <c r="AM219" s="22"/>
      <c r="AN219" s="22"/>
      <c r="AO219" s="22"/>
      <c r="AP219" s="22"/>
      <c r="AQ219" s="22"/>
      <c r="AR219" s="22"/>
      <c r="AS219" s="22"/>
      <c r="AT219" s="22"/>
      <c r="AU219" s="22"/>
    </row>
    <row r="220" spans="2:47" ht="15.75" customHeight="1" x14ac:dyDescent="0.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2"/>
      <c r="AG220" s="22"/>
      <c r="AH220" s="22"/>
      <c r="AI220" s="22"/>
      <c r="AJ220" s="22"/>
      <c r="AK220" s="22"/>
      <c r="AL220" s="22"/>
      <c r="AM220" s="22"/>
      <c r="AN220" s="22"/>
      <c r="AO220" s="22"/>
      <c r="AP220" s="22"/>
      <c r="AQ220" s="22"/>
      <c r="AR220" s="22"/>
      <c r="AS220" s="22"/>
      <c r="AT220" s="22"/>
      <c r="AU220" s="22"/>
    </row>
    <row r="221" spans="2:47" ht="15.75" customHeight="1" x14ac:dyDescent="0.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2"/>
      <c r="AG221" s="22"/>
      <c r="AH221" s="22"/>
      <c r="AI221" s="22"/>
      <c r="AJ221" s="22"/>
      <c r="AK221" s="22"/>
      <c r="AL221" s="22"/>
      <c r="AM221" s="22"/>
      <c r="AN221" s="22"/>
      <c r="AO221" s="22"/>
      <c r="AP221" s="22"/>
      <c r="AQ221" s="22"/>
      <c r="AR221" s="22"/>
      <c r="AS221" s="22"/>
      <c r="AT221" s="22"/>
      <c r="AU221" s="22"/>
    </row>
    <row r="222" spans="2:47" ht="15.75" customHeight="1" x14ac:dyDescent="0.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2"/>
      <c r="AG222" s="22"/>
      <c r="AH222" s="22"/>
      <c r="AI222" s="22"/>
      <c r="AJ222" s="22"/>
      <c r="AK222" s="22"/>
      <c r="AL222" s="22"/>
      <c r="AM222" s="22"/>
      <c r="AN222" s="22"/>
      <c r="AO222" s="22"/>
      <c r="AP222" s="22"/>
      <c r="AQ222" s="22"/>
      <c r="AR222" s="22"/>
      <c r="AS222" s="22"/>
      <c r="AT222" s="22"/>
      <c r="AU222" s="22"/>
    </row>
    <row r="223" spans="2:47" ht="15.75" customHeight="1" x14ac:dyDescent="0.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2"/>
      <c r="AG223" s="22"/>
      <c r="AH223" s="22"/>
      <c r="AI223" s="22"/>
      <c r="AJ223" s="22"/>
      <c r="AK223" s="22"/>
      <c r="AL223" s="22"/>
      <c r="AM223" s="22"/>
      <c r="AN223" s="22"/>
      <c r="AO223" s="22"/>
      <c r="AP223" s="22"/>
      <c r="AQ223" s="22"/>
      <c r="AR223" s="22"/>
      <c r="AS223" s="22"/>
      <c r="AT223" s="22"/>
      <c r="AU223" s="22"/>
    </row>
    <row r="224" spans="2:47" ht="15.75" customHeight="1" x14ac:dyDescent="0.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2"/>
      <c r="AG224" s="22"/>
      <c r="AH224" s="22"/>
      <c r="AI224" s="22"/>
      <c r="AJ224" s="22"/>
      <c r="AK224" s="22"/>
      <c r="AL224" s="22"/>
      <c r="AM224" s="22"/>
      <c r="AN224" s="22"/>
      <c r="AO224" s="22"/>
      <c r="AP224" s="22"/>
      <c r="AQ224" s="22"/>
      <c r="AR224" s="22"/>
      <c r="AS224" s="22"/>
      <c r="AT224" s="22"/>
      <c r="AU224" s="22"/>
    </row>
    <row r="225" spans="2:47" ht="15.75" customHeight="1" x14ac:dyDescent="0.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2"/>
      <c r="AG225" s="22"/>
      <c r="AH225" s="22"/>
      <c r="AI225" s="22"/>
      <c r="AJ225" s="22"/>
      <c r="AK225" s="22"/>
      <c r="AL225" s="22"/>
      <c r="AM225" s="22"/>
      <c r="AN225" s="22"/>
      <c r="AO225" s="22"/>
      <c r="AP225" s="22"/>
      <c r="AQ225" s="22"/>
      <c r="AR225" s="22"/>
      <c r="AS225" s="22"/>
      <c r="AT225" s="22"/>
      <c r="AU225" s="22"/>
    </row>
    <row r="226" spans="2:47" ht="15.75" customHeight="1" x14ac:dyDescent="0.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2"/>
      <c r="AG226" s="22"/>
      <c r="AH226" s="22"/>
      <c r="AI226" s="22"/>
      <c r="AJ226" s="22"/>
      <c r="AK226" s="22"/>
      <c r="AL226" s="22"/>
      <c r="AM226" s="22"/>
      <c r="AN226" s="22"/>
      <c r="AO226" s="22"/>
      <c r="AP226" s="22"/>
      <c r="AQ226" s="22"/>
      <c r="AR226" s="22"/>
      <c r="AS226" s="22"/>
      <c r="AT226" s="22"/>
      <c r="AU226" s="22"/>
    </row>
    <row r="227" spans="2:47" ht="15.75" customHeight="1" x14ac:dyDescent="0.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2"/>
      <c r="AG227" s="22"/>
      <c r="AH227" s="22"/>
      <c r="AI227" s="22"/>
      <c r="AJ227" s="22"/>
      <c r="AK227" s="22"/>
      <c r="AL227" s="22"/>
      <c r="AM227" s="22"/>
      <c r="AN227" s="22"/>
      <c r="AO227" s="22"/>
      <c r="AP227" s="22"/>
      <c r="AQ227" s="22"/>
      <c r="AR227" s="22"/>
      <c r="AS227" s="22"/>
      <c r="AT227" s="22"/>
      <c r="AU227" s="22"/>
    </row>
    <row r="228" spans="2:47" ht="15.75" customHeight="1" x14ac:dyDescent="0.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2"/>
      <c r="AG228" s="22"/>
      <c r="AH228" s="22"/>
      <c r="AI228" s="22"/>
      <c r="AJ228" s="22"/>
      <c r="AK228" s="22"/>
      <c r="AL228" s="22"/>
      <c r="AM228" s="22"/>
      <c r="AN228" s="22"/>
      <c r="AO228" s="22"/>
      <c r="AP228" s="22"/>
      <c r="AQ228" s="22"/>
      <c r="AR228" s="22"/>
      <c r="AS228" s="22"/>
      <c r="AT228" s="22"/>
      <c r="AU228" s="22"/>
    </row>
    <row r="229" spans="2:47" ht="15.75" customHeight="1" x14ac:dyDescent="0.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2"/>
      <c r="AG229" s="22"/>
      <c r="AH229" s="22"/>
      <c r="AI229" s="22"/>
      <c r="AJ229" s="22"/>
      <c r="AK229" s="22"/>
      <c r="AL229" s="22"/>
      <c r="AM229" s="22"/>
      <c r="AN229" s="22"/>
      <c r="AO229" s="22"/>
      <c r="AP229" s="22"/>
      <c r="AQ229" s="22"/>
      <c r="AR229" s="22"/>
      <c r="AS229" s="22"/>
      <c r="AT229" s="22"/>
      <c r="AU229" s="22"/>
    </row>
    <row r="230" spans="2:47" ht="15.75" customHeight="1" x14ac:dyDescent="0.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2"/>
      <c r="AG230" s="22"/>
      <c r="AH230" s="22"/>
      <c r="AI230" s="22"/>
      <c r="AJ230" s="22"/>
      <c r="AK230" s="22"/>
      <c r="AL230" s="22"/>
      <c r="AM230" s="22"/>
      <c r="AN230" s="22"/>
      <c r="AO230" s="22"/>
      <c r="AP230" s="22"/>
      <c r="AQ230" s="22"/>
      <c r="AR230" s="22"/>
      <c r="AS230" s="22"/>
      <c r="AT230" s="22"/>
      <c r="AU230" s="22"/>
    </row>
    <row r="231" spans="2:47" ht="15.75" customHeight="1" x14ac:dyDescent="0.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2"/>
      <c r="AG231" s="22"/>
      <c r="AH231" s="22"/>
      <c r="AI231" s="22"/>
      <c r="AJ231" s="22"/>
      <c r="AK231" s="22"/>
      <c r="AL231" s="22"/>
      <c r="AM231" s="22"/>
      <c r="AN231" s="22"/>
      <c r="AO231" s="22"/>
      <c r="AP231" s="22"/>
      <c r="AQ231" s="22"/>
      <c r="AR231" s="22"/>
      <c r="AS231" s="22"/>
      <c r="AT231" s="22"/>
      <c r="AU231" s="22"/>
    </row>
    <row r="232" spans="2:47" ht="15.75" customHeight="1" x14ac:dyDescent="0.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2"/>
      <c r="AG232" s="22"/>
      <c r="AH232" s="22"/>
      <c r="AI232" s="22"/>
      <c r="AJ232" s="22"/>
      <c r="AK232" s="22"/>
      <c r="AL232" s="22"/>
      <c r="AM232" s="22"/>
      <c r="AN232" s="22"/>
      <c r="AO232" s="22"/>
      <c r="AP232" s="22"/>
      <c r="AQ232" s="22"/>
      <c r="AR232" s="22"/>
      <c r="AS232" s="22"/>
      <c r="AT232" s="22"/>
      <c r="AU232" s="22"/>
    </row>
    <row r="233" spans="2:47" ht="15.75" customHeight="1" x14ac:dyDescent="0.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2"/>
      <c r="AG233" s="22"/>
      <c r="AH233" s="22"/>
      <c r="AI233" s="22"/>
      <c r="AJ233" s="22"/>
      <c r="AK233" s="22"/>
      <c r="AL233" s="22"/>
      <c r="AM233" s="22"/>
      <c r="AN233" s="22"/>
      <c r="AO233" s="22"/>
      <c r="AP233" s="22"/>
      <c r="AQ233" s="22"/>
      <c r="AR233" s="22"/>
      <c r="AS233" s="22"/>
      <c r="AT233" s="22"/>
      <c r="AU233" s="22"/>
    </row>
    <row r="234" spans="2:47" ht="15.75" customHeight="1" x14ac:dyDescent="0.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2"/>
      <c r="AG234" s="22"/>
      <c r="AH234" s="22"/>
      <c r="AI234" s="22"/>
      <c r="AJ234" s="22"/>
      <c r="AK234" s="22"/>
      <c r="AL234" s="22"/>
      <c r="AM234" s="22"/>
      <c r="AN234" s="22"/>
      <c r="AO234" s="22"/>
      <c r="AP234" s="22"/>
      <c r="AQ234" s="22"/>
      <c r="AR234" s="22"/>
      <c r="AS234" s="22"/>
      <c r="AT234" s="22"/>
      <c r="AU234" s="22"/>
    </row>
    <row r="235" spans="2:47" ht="15.75" customHeight="1" x14ac:dyDescent="0.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2"/>
      <c r="AG235" s="22"/>
      <c r="AH235" s="22"/>
      <c r="AI235" s="22"/>
      <c r="AJ235" s="22"/>
      <c r="AK235" s="22"/>
      <c r="AL235" s="22"/>
      <c r="AM235" s="22"/>
      <c r="AN235" s="22"/>
      <c r="AO235" s="22"/>
      <c r="AP235" s="22"/>
      <c r="AQ235" s="22"/>
      <c r="AR235" s="22"/>
      <c r="AS235" s="22"/>
      <c r="AT235" s="22"/>
      <c r="AU235" s="22"/>
    </row>
    <row r="236" spans="2:47" ht="15.75" customHeight="1" x14ac:dyDescent="0.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2"/>
      <c r="AG236" s="22"/>
      <c r="AH236" s="22"/>
      <c r="AI236" s="22"/>
      <c r="AJ236" s="22"/>
      <c r="AK236" s="22"/>
      <c r="AL236" s="22"/>
      <c r="AM236" s="22"/>
      <c r="AN236" s="22"/>
      <c r="AO236" s="22"/>
      <c r="AP236" s="22"/>
      <c r="AQ236" s="22"/>
      <c r="AR236" s="22"/>
      <c r="AS236" s="22"/>
      <c r="AT236" s="22"/>
      <c r="AU236" s="22"/>
    </row>
    <row r="237" spans="2:47" ht="15.75" customHeight="1" x14ac:dyDescent="0.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2"/>
      <c r="AG237" s="22"/>
      <c r="AH237" s="22"/>
      <c r="AI237" s="22"/>
      <c r="AJ237" s="22"/>
      <c r="AK237" s="22"/>
      <c r="AL237" s="22"/>
      <c r="AM237" s="22"/>
      <c r="AN237" s="22"/>
      <c r="AO237" s="22"/>
      <c r="AP237" s="22"/>
      <c r="AQ237" s="22"/>
      <c r="AR237" s="22"/>
      <c r="AS237" s="22"/>
      <c r="AT237" s="22"/>
      <c r="AU237" s="22"/>
    </row>
    <row r="238" spans="2:47" ht="15.75" customHeight="1" x14ac:dyDescent="0.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2"/>
      <c r="AG238" s="22"/>
      <c r="AH238" s="22"/>
      <c r="AI238" s="22"/>
      <c r="AJ238" s="22"/>
      <c r="AK238" s="22"/>
      <c r="AL238" s="22"/>
      <c r="AM238" s="22"/>
      <c r="AN238" s="22"/>
      <c r="AO238" s="22"/>
      <c r="AP238" s="22"/>
      <c r="AQ238" s="22"/>
      <c r="AR238" s="22"/>
      <c r="AS238" s="22"/>
      <c r="AT238" s="22"/>
      <c r="AU238" s="22"/>
    </row>
    <row r="239" spans="2:47" ht="15.75" customHeight="1" x14ac:dyDescent="0.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2"/>
      <c r="AG239" s="22"/>
      <c r="AH239" s="22"/>
      <c r="AI239" s="22"/>
      <c r="AJ239" s="22"/>
      <c r="AK239" s="22"/>
      <c r="AL239" s="22"/>
      <c r="AM239" s="22"/>
      <c r="AN239" s="22"/>
      <c r="AO239" s="22"/>
      <c r="AP239" s="22"/>
      <c r="AQ239" s="22"/>
      <c r="AR239" s="22"/>
      <c r="AS239" s="22"/>
      <c r="AT239" s="22"/>
      <c r="AU239" s="22"/>
    </row>
    <row r="240" spans="2:47" ht="15.75" customHeight="1" x14ac:dyDescent="0.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2"/>
      <c r="AG240" s="22"/>
      <c r="AH240" s="22"/>
      <c r="AI240" s="22"/>
      <c r="AJ240" s="22"/>
      <c r="AK240" s="22"/>
      <c r="AL240" s="22"/>
      <c r="AM240" s="22"/>
      <c r="AN240" s="22"/>
      <c r="AO240" s="22"/>
      <c r="AP240" s="22"/>
      <c r="AQ240" s="22"/>
      <c r="AR240" s="22"/>
      <c r="AS240" s="22"/>
      <c r="AT240" s="22"/>
      <c r="AU240" s="22"/>
    </row>
    <row r="241" spans="2:47" ht="15.75" customHeight="1" x14ac:dyDescent="0.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2"/>
      <c r="AG241" s="22"/>
      <c r="AH241" s="22"/>
      <c r="AI241" s="22"/>
      <c r="AJ241" s="22"/>
      <c r="AK241" s="22"/>
      <c r="AL241" s="22"/>
      <c r="AM241" s="22"/>
      <c r="AN241" s="22"/>
      <c r="AO241" s="22"/>
      <c r="AP241" s="22"/>
      <c r="AQ241" s="22"/>
      <c r="AR241" s="22"/>
      <c r="AS241" s="22"/>
      <c r="AT241" s="22"/>
      <c r="AU241" s="22"/>
    </row>
    <row r="242" spans="2:47" ht="15.75" customHeight="1" x14ac:dyDescent="0.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2"/>
      <c r="AG242" s="22"/>
      <c r="AH242" s="22"/>
      <c r="AI242" s="22"/>
      <c r="AJ242" s="22"/>
      <c r="AK242" s="22"/>
      <c r="AL242" s="22"/>
      <c r="AM242" s="22"/>
      <c r="AN242" s="22"/>
      <c r="AO242" s="22"/>
      <c r="AP242" s="22"/>
      <c r="AQ242" s="22"/>
      <c r="AR242" s="22"/>
      <c r="AS242" s="22"/>
      <c r="AT242" s="22"/>
      <c r="AU242" s="22"/>
    </row>
    <row r="243" spans="2:47" ht="15.75" customHeight="1" x14ac:dyDescent="0.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2"/>
      <c r="AG243" s="22"/>
      <c r="AH243" s="22"/>
      <c r="AI243" s="22"/>
      <c r="AJ243" s="22"/>
      <c r="AK243" s="22"/>
      <c r="AL243" s="22"/>
      <c r="AM243" s="22"/>
      <c r="AN243" s="22"/>
      <c r="AO243" s="22"/>
      <c r="AP243" s="22"/>
      <c r="AQ243" s="22"/>
      <c r="AR243" s="22"/>
      <c r="AS243" s="22"/>
      <c r="AT243" s="22"/>
      <c r="AU243" s="22"/>
    </row>
    <row r="244" spans="2:47" ht="15.75" customHeight="1" x14ac:dyDescent="0.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2"/>
      <c r="AG244" s="22"/>
      <c r="AH244" s="22"/>
      <c r="AI244" s="22"/>
      <c r="AJ244" s="22"/>
      <c r="AK244" s="22"/>
      <c r="AL244" s="22"/>
      <c r="AM244" s="22"/>
      <c r="AN244" s="22"/>
      <c r="AO244" s="22"/>
      <c r="AP244" s="22"/>
      <c r="AQ244" s="22"/>
      <c r="AR244" s="22"/>
      <c r="AS244" s="22"/>
      <c r="AT244" s="22"/>
      <c r="AU244" s="22"/>
    </row>
    <row r="245" spans="2:47" ht="15.75" customHeight="1" x14ac:dyDescent="0.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2"/>
      <c r="AG245" s="22"/>
      <c r="AH245" s="22"/>
      <c r="AI245" s="22"/>
      <c r="AJ245" s="22"/>
      <c r="AK245" s="22"/>
      <c r="AL245" s="22"/>
      <c r="AM245" s="22"/>
      <c r="AN245" s="22"/>
      <c r="AO245" s="22"/>
      <c r="AP245" s="22"/>
      <c r="AQ245" s="22"/>
      <c r="AR245" s="22"/>
      <c r="AS245" s="22"/>
      <c r="AT245" s="22"/>
      <c r="AU245" s="22"/>
    </row>
    <row r="246" spans="2:47" ht="15.75" customHeight="1" x14ac:dyDescent="0.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2"/>
      <c r="AG246" s="22"/>
      <c r="AH246" s="22"/>
      <c r="AI246" s="22"/>
      <c r="AJ246" s="22"/>
      <c r="AK246" s="22"/>
      <c r="AL246" s="22"/>
      <c r="AM246" s="22"/>
      <c r="AN246" s="22"/>
      <c r="AO246" s="22"/>
      <c r="AP246" s="22"/>
      <c r="AQ246" s="22"/>
      <c r="AR246" s="22"/>
      <c r="AS246" s="22"/>
      <c r="AT246" s="22"/>
      <c r="AU246" s="22"/>
    </row>
    <row r="247" spans="2:47" ht="15.75" customHeight="1" x14ac:dyDescent="0.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2"/>
      <c r="AG247" s="22"/>
      <c r="AH247" s="22"/>
      <c r="AI247" s="22"/>
      <c r="AJ247" s="22"/>
      <c r="AK247" s="22"/>
      <c r="AL247" s="22"/>
      <c r="AM247" s="22"/>
      <c r="AN247" s="22"/>
      <c r="AO247" s="22"/>
      <c r="AP247" s="22"/>
      <c r="AQ247" s="22"/>
      <c r="AR247" s="22"/>
      <c r="AS247" s="22"/>
      <c r="AT247" s="22"/>
      <c r="AU247" s="22"/>
    </row>
    <row r="248" spans="2:47" ht="15.75" customHeight="1" x14ac:dyDescent="0.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2"/>
      <c r="AG248" s="22"/>
      <c r="AH248" s="22"/>
      <c r="AI248" s="22"/>
      <c r="AJ248" s="22"/>
      <c r="AK248" s="22"/>
      <c r="AL248" s="22"/>
      <c r="AM248" s="22"/>
      <c r="AN248" s="22"/>
      <c r="AO248" s="22"/>
      <c r="AP248" s="22"/>
      <c r="AQ248" s="22"/>
      <c r="AR248" s="22"/>
      <c r="AS248" s="22"/>
      <c r="AT248" s="22"/>
      <c r="AU248" s="22"/>
    </row>
    <row r="249" spans="2:47" ht="15.75" customHeight="1" x14ac:dyDescent="0.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2"/>
      <c r="AG249" s="22"/>
      <c r="AH249" s="22"/>
      <c r="AI249" s="22"/>
      <c r="AJ249" s="22"/>
      <c r="AK249" s="22"/>
      <c r="AL249" s="22"/>
      <c r="AM249" s="22"/>
      <c r="AN249" s="22"/>
      <c r="AO249" s="22"/>
      <c r="AP249" s="22"/>
      <c r="AQ249" s="22"/>
      <c r="AR249" s="22"/>
      <c r="AS249" s="22"/>
      <c r="AT249" s="22"/>
      <c r="AU249" s="22"/>
    </row>
    <row r="250" spans="2:47" ht="15.75" customHeight="1" x14ac:dyDescent="0.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2"/>
      <c r="AG250" s="22"/>
      <c r="AH250" s="22"/>
      <c r="AI250" s="22"/>
      <c r="AJ250" s="22"/>
      <c r="AK250" s="22"/>
      <c r="AL250" s="22"/>
      <c r="AM250" s="22"/>
      <c r="AN250" s="22"/>
      <c r="AO250" s="22"/>
      <c r="AP250" s="22"/>
      <c r="AQ250" s="22"/>
      <c r="AR250" s="22"/>
      <c r="AS250" s="22"/>
      <c r="AT250" s="22"/>
      <c r="AU250" s="22"/>
    </row>
    <row r="251" spans="2:47" ht="15.75" customHeight="1" x14ac:dyDescent="0.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2"/>
      <c r="AG251" s="22"/>
      <c r="AH251" s="22"/>
      <c r="AI251" s="22"/>
      <c r="AJ251" s="22"/>
      <c r="AK251" s="22"/>
      <c r="AL251" s="22"/>
      <c r="AM251" s="22"/>
      <c r="AN251" s="22"/>
      <c r="AO251" s="22"/>
      <c r="AP251" s="22"/>
      <c r="AQ251" s="22"/>
      <c r="AR251" s="22"/>
      <c r="AS251" s="22"/>
      <c r="AT251" s="22"/>
      <c r="AU251" s="22"/>
    </row>
    <row r="252" spans="2:47" ht="15.75" customHeight="1" x14ac:dyDescent="0.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2"/>
      <c r="AG252" s="22"/>
      <c r="AH252" s="22"/>
      <c r="AI252" s="22"/>
      <c r="AJ252" s="22"/>
      <c r="AK252" s="22"/>
      <c r="AL252" s="22"/>
      <c r="AM252" s="22"/>
      <c r="AN252" s="22"/>
      <c r="AO252" s="22"/>
      <c r="AP252" s="22"/>
      <c r="AQ252" s="22"/>
      <c r="AR252" s="22"/>
      <c r="AS252" s="22"/>
      <c r="AT252" s="22"/>
      <c r="AU252" s="22"/>
    </row>
    <row r="253" spans="2:47" ht="15.75" customHeight="1" x14ac:dyDescent="0.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2"/>
      <c r="AG253" s="22"/>
      <c r="AH253" s="22"/>
      <c r="AI253" s="22"/>
      <c r="AJ253" s="22"/>
      <c r="AK253" s="22"/>
      <c r="AL253" s="22"/>
      <c r="AM253" s="22"/>
      <c r="AN253" s="22"/>
      <c r="AO253" s="22"/>
      <c r="AP253" s="22"/>
      <c r="AQ253" s="22"/>
      <c r="AR253" s="22"/>
      <c r="AS253" s="22"/>
      <c r="AT253" s="22"/>
      <c r="AU253" s="22"/>
    </row>
    <row r="254" spans="2:47" ht="15.75" customHeight="1" x14ac:dyDescent="0.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2"/>
      <c r="AG254" s="22"/>
      <c r="AH254" s="22"/>
      <c r="AI254" s="22"/>
      <c r="AJ254" s="22"/>
      <c r="AK254" s="22"/>
      <c r="AL254" s="22"/>
      <c r="AM254" s="22"/>
      <c r="AN254" s="22"/>
      <c r="AO254" s="22"/>
      <c r="AP254" s="22"/>
      <c r="AQ254" s="22"/>
      <c r="AR254" s="22"/>
      <c r="AS254" s="22"/>
      <c r="AT254" s="22"/>
      <c r="AU254" s="22"/>
    </row>
    <row r="255" spans="2:47" ht="15.75" customHeight="1" x14ac:dyDescent="0.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2"/>
      <c r="AG255" s="22"/>
      <c r="AH255" s="22"/>
      <c r="AI255" s="22"/>
      <c r="AJ255" s="22"/>
      <c r="AK255" s="22"/>
      <c r="AL255" s="22"/>
      <c r="AM255" s="22"/>
      <c r="AN255" s="22"/>
      <c r="AO255" s="22"/>
      <c r="AP255" s="22"/>
      <c r="AQ255" s="22"/>
      <c r="AR255" s="22"/>
      <c r="AS255" s="22"/>
      <c r="AT255" s="22"/>
      <c r="AU255" s="22"/>
    </row>
    <row r="256" spans="2:47" ht="15.75" customHeight="1" x14ac:dyDescent="0.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2"/>
      <c r="AG256" s="22"/>
      <c r="AH256" s="22"/>
      <c r="AI256" s="22"/>
      <c r="AJ256" s="22"/>
      <c r="AK256" s="22"/>
      <c r="AL256" s="22"/>
      <c r="AM256" s="22"/>
      <c r="AN256" s="22"/>
      <c r="AO256" s="22"/>
      <c r="AP256" s="22"/>
      <c r="AQ256" s="22"/>
      <c r="AR256" s="22"/>
      <c r="AS256" s="22"/>
      <c r="AT256" s="22"/>
      <c r="AU256" s="22"/>
    </row>
    <row r="257" spans="2:47" ht="15.75" customHeight="1" x14ac:dyDescent="0.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2"/>
      <c r="AG257" s="22"/>
      <c r="AH257" s="22"/>
      <c r="AI257" s="22"/>
      <c r="AJ257" s="22"/>
      <c r="AK257" s="22"/>
      <c r="AL257" s="22"/>
      <c r="AM257" s="22"/>
      <c r="AN257" s="22"/>
      <c r="AO257" s="22"/>
      <c r="AP257" s="22"/>
      <c r="AQ257" s="22"/>
      <c r="AR257" s="22"/>
      <c r="AS257" s="22"/>
      <c r="AT257" s="22"/>
      <c r="AU257" s="22"/>
    </row>
    <row r="258" spans="2:47" ht="15.75" customHeight="1" x14ac:dyDescent="0.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2"/>
      <c r="AG258" s="22"/>
      <c r="AH258" s="22"/>
      <c r="AI258" s="22"/>
      <c r="AJ258" s="22"/>
      <c r="AK258" s="22"/>
      <c r="AL258" s="22"/>
      <c r="AM258" s="22"/>
      <c r="AN258" s="22"/>
      <c r="AO258" s="22"/>
      <c r="AP258" s="22"/>
      <c r="AQ258" s="22"/>
      <c r="AR258" s="22"/>
      <c r="AS258" s="22"/>
      <c r="AT258" s="22"/>
      <c r="AU258" s="22"/>
    </row>
    <row r="259" spans="2:47" ht="15.75" customHeight="1" x14ac:dyDescent="0.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2"/>
      <c r="AG259" s="22"/>
      <c r="AH259" s="22"/>
      <c r="AI259" s="22"/>
      <c r="AJ259" s="22"/>
      <c r="AK259" s="22"/>
      <c r="AL259" s="22"/>
      <c r="AM259" s="22"/>
      <c r="AN259" s="22"/>
      <c r="AO259" s="22"/>
      <c r="AP259" s="22"/>
      <c r="AQ259" s="22"/>
      <c r="AR259" s="22"/>
      <c r="AS259" s="22"/>
      <c r="AT259" s="22"/>
      <c r="AU259" s="22"/>
    </row>
    <row r="260" spans="2:47" ht="15.75" customHeight="1" x14ac:dyDescent="0.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2"/>
      <c r="AG260" s="22"/>
      <c r="AH260" s="22"/>
      <c r="AI260" s="22"/>
      <c r="AJ260" s="22"/>
      <c r="AK260" s="22"/>
      <c r="AL260" s="22"/>
      <c r="AM260" s="22"/>
      <c r="AN260" s="22"/>
      <c r="AO260" s="22"/>
      <c r="AP260" s="22"/>
      <c r="AQ260" s="22"/>
      <c r="AR260" s="22"/>
      <c r="AS260" s="22"/>
      <c r="AT260" s="22"/>
      <c r="AU260" s="22"/>
    </row>
    <row r="261" spans="2:47" ht="15.75" customHeight="1" x14ac:dyDescent="0.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2"/>
      <c r="AE261" s="22"/>
      <c r="AF261" s="22"/>
      <c r="AG261" s="22"/>
      <c r="AH261" s="22"/>
      <c r="AI261" s="22"/>
      <c r="AJ261" s="22"/>
      <c r="AK261" s="22"/>
      <c r="AL261" s="22"/>
      <c r="AM261" s="22"/>
      <c r="AN261" s="22"/>
      <c r="AO261" s="22"/>
      <c r="AP261" s="22"/>
      <c r="AQ261" s="22"/>
      <c r="AR261" s="22"/>
      <c r="AS261" s="22"/>
      <c r="AT261" s="22"/>
      <c r="AU261" s="22"/>
    </row>
    <row r="262" spans="2:47" ht="15.75" customHeight="1" x14ac:dyDescent="0.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2"/>
      <c r="AE262" s="22"/>
      <c r="AF262" s="22"/>
      <c r="AG262" s="22"/>
      <c r="AH262" s="22"/>
      <c r="AI262" s="22"/>
      <c r="AJ262" s="22"/>
      <c r="AK262" s="22"/>
      <c r="AL262" s="22"/>
      <c r="AM262" s="22"/>
      <c r="AN262" s="22"/>
      <c r="AO262" s="22"/>
      <c r="AP262" s="22"/>
      <c r="AQ262" s="22"/>
      <c r="AR262" s="22"/>
      <c r="AS262" s="22"/>
      <c r="AT262" s="22"/>
      <c r="AU262" s="22"/>
    </row>
    <row r="263" spans="2:47" ht="15.75" customHeight="1" x14ac:dyDescent="0.2">
      <c r="B263" s="2"/>
      <c r="C263" s="2"/>
      <c r="D263" s="2"/>
      <c r="E263" s="2"/>
      <c r="F263" s="2"/>
      <c r="G263" s="2"/>
      <c r="H263" s="2"/>
      <c r="I263" s="2"/>
      <c r="J263" s="2"/>
      <c r="K263" s="2"/>
      <c r="L263" s="2"/>
      <c r="M263" s="2"/>
      <c r="N263" s="2"/>
      <c r="O263" s="2"/>
      <c r="P263" s="2"/>
      <c r="Q263" s="2"/>
      <c r="R263" s="2"/>
      <c r="S263" s="2"/>
      <c r="T263" s="2"/>
      <c r="V263" s="2"/>
      <c r="W263" s="2"/>
      <c r="X263" s="2"/>
      <c r="Y263" s="2"/>
      <c r="Z263" s="2"/>
      <c r="AA263" s="2"/>
      <c r="AB263" s="2"/>
      <c r="AC263" s="2"/>
      <c r="AD263" s="22"/>
      <c r="AE263" s="22"/>
      <c r="AF263" s="22"/>
      <c r="AG263" s="22"/>
      <c r="AH263" s="22"/>
      <c r="AI263" s="22"/>
      <c r="AJ263" s="22"/>
      <c r="AK263" s="22"/>
      <c r="AL263" s="22"/>
      <c r="AM263" s="22"/>
      <c r="AN263" s="22"/>
      <c r="AO263" s="22"/>
      <c r="AP263" s="22"/>
      <c r="AQ263" s="22"/>
      <c r="AR263" s="22"/>
      <c r="AS263" s="22"/>
      <c r="AT263" s="22"/>
      <c r="AU263" s="22"/>
    </row>
    <row r="264" spans="2:47" ht="15.75" customHeight="1" x14ac:dyDescent="0.2">
      <c r="B264" s="2"/>
      <c r="C264" s="2"/>
      <c r="D264" s="2"/>
      <c r="E264" s="2"/>
      <c r="F264" s="2"/>
      <c r="G264" s="2"/>
      <c r="H264" s="2"/>
      <c r="I264" s="2"/>
      <c r="J264" s="2"/>
      <c r="K264" s="2"/>
      <c r="L264" s="2"/>
      <c r="M264" s="2"/>
      <c r="N264" s="2"/>
      <c r="O264" s="2"/>
      <c r="P264" s="2"/>
      <c r="Q264" s="2"/>
      <c r="R264" s="2"/>
      <c r="S264" s="2"/>
      <c r="T264" s="2"/>
      <c r="V264" s="2"/>
      <c r="W264" s="2"/>
      <c r="X264" s="2"/>
      <c r="Y264" s="2"/>
      <c r="Z264" s="2"/>
      <c r="AA264" s="2"/>
      <c r="AB264" s="2"/>
      <c r="AC264" s="2"/>
      <c r="AD264" s="22"/>
      <c r="AE264" s="22"/>
      <c r="AF264" s="22"/>
      <c r="AG264" s="22"/>
      <c r="AH264" s="22"/>
      <c r="AI264" s="22"/>
      <c r="AJ264" s="22"/>
      <c r="AK264" s="22"/>
      <c r="AL264" s="22"/>
      <c r="AM264" s="22"/>
      <c r="AN264" s="22"/>
      <c r="AO264" s="22"/>
      <c r="AP264" s="22"/>
      <c r="AQ264" s="22"/>
      <c r="AR264" s="22"/>
      <c r="AS264" s="22"/>
      <c r="AT264" s="22"/>
      <c r="AU264" s="22"/>
    </row>
    <row r="265" spans="2:47" ht="15.75" customHeight="1" x14ac:dyDescent="0.2">
      <c r="B265" s="2"/>
      <c r="C265" s="2"/>
      <c r="D265" s="2"/>
      <c r="E265" s="2"/>
      <c r="F265" s="2"/>
      <c r="G265" s="2"/>
      <c r="H265" s="2"/>
      <c r="I265" s="2"/>
      <c r="J265" s="2"/>
      <c r="K265" s="2"/>
      <c r="L265" s="2"/>
      <c r="M265" s="2"/>
      <c r="N265" s="2"/>
      <c r="O265" s="2"/>
      <c r="P265" s="2"/>
      <c r="Q265" s="2"/>
      <c r="R265" s="2"/>
      <c r="S265" s="2"/>
      <c r="T265" s="2"/>
      <c r="V265" s="2"/>
      <c r="W265" s="2"/>
      <c r="X265" s="2"/>
      <c r="Y265" s="2"/>
      <c r="Z265" s="2"/>
      <c r="AA265" s="2"/>
      <c r="AB265" s="2"/>
      <c r="AC265" s="2"/>
      <c r="AD265" s="22"/>
      <c r="AE265" s="22"/>
      <c r="AF265" s="22"/>
      <c r="AG265" s="22"/>
      <c r="AH265" s="22"/>
      <c r="AI265" s="22"/>
      <c r="AJ265" s="22"/>
      <c r="AK265" s="22"/>
      <c r="AL265" s="22"/>
      <c r="AM265" s="22"/>
      <c r="AN265" s="22"/>
      <c r="AO265" s="22"/>
      <c r="AP265" s="22"/>
      <c r="AQ265" s="22"/>
      <c r="AR265" s="22"/>
      <c r="AS265" s="22"/>
      <c r="AT265" s="22"/>
      <c r="AU265" s="22"/>
    </row>
    <row r="266" spans="2:47" ht="15.75" customHeight="1" x14ac:dyDescent="0.2">
      <c r="B266" s="2"/>
      <c r="C266" s="2"/>
      <c r="D266" s="2"/>
      <c r="E266" s="2"/>
      <c r="F266" s="2"/>
      <c r="G266" s="2"/>
      <c r="H266" s="2"/>
      <c r="I266" s="2"/>
      <c r="J266" s="2"/>
      <c r="K266" s="2"/>
      <c r="L266" s="2"/>
      <c r="M266" s="2"/>
      <c r="N266" s="2"/>
      <c r="O266" s="2"/>
      <c r="P266" s="2"/>
      <c r="Q266" s="2"/>
      <c r="R266" s="2"/>
      <c r="S266" s="2"/>
      <c r="T266" s="2"/>
      <c r="V266" s="2"/>
      <c r="W266" s="2"/>
      <c r="X266" s="2"/>
      <c r="Y266" s="2"/>
      <c r="Z266" s="2"/>
      <c r="AA266" s="2"/>
      <c r="AB266" s="2"/>
      <c r="AC266" s="2"/>
      <c r="AD266" s="22"/>
      <c r="AE266" s="22"/>
      <c r="AF266" s="22"/>
      <c r="AG266" s="22"/>
      <c r="AH266" s="22"/>
      <c r="AI266" s="22"/>
      <c r="AJ266" s="22"/>
      <c r="AK266" s="22"/>
      <c r="AL266" s="22"/>
      <c r="AM266" s="22"/>
      <c r="AN266" s="22"/>
      <c r="AO266" s="22"/>
      <c r="AP266" s="22"/>
      <c r="AQ266" s="22"/>
      <c r="AR266" s="22"/>
      <c r="AS266" s="22"/>
      <c r="AT266" s="22"/>
      <c r="AU266" s="22"/>
    </row>
    <row r="267" spans="2:47" ht="15.75" customHeight="1" x14ac:dyDescent="0.2">
      <c r="B267" s="2"/>
      <c r="C267" s="2"/>
      <c r="D267" s="2"/>
      <c r="E267" s="2"/>
      <c r="F267" s="2"/>
      <c r="G267" s="2"/>
      <c r="H267" s="2"/>
      <c r="I267" s="2"/>
      <c r="J267" s="2"/>
      <c r="K267" s="2"/>
      <c r="L267" s="2"/>
      <c r="M267" s="2"/>
      <c r="N267" s="2"/>
      <c r="O267" s="2"/>
      <c r="P267" s="2"/>
      <c r="Q267" s="2"/>
      <c r="R267" s="2"/>
      <c r="S267" s="2"/>
      <c r="T267" s="2"/>
      <c r="V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2:47" ht="15.75" customHeight="1" x14ac:dyDescent="0.2">
      <c r="B268" s="2"/>
      <c r="C268" s="2"/>
      <c r="D268" s="2"/>
      <c r="E268" s="2"/>
      <c r="F268" s="2"/>
      <c r="G268" s="2"/>
      <c r="H268" s="2"/>
      <c r="I268" s="2"/>
      <c r="J268" s="2"/>
      <c r="K268" s="2"/>
      <c r="L268" s="2"/>
      <c r="M268" s="2"/>
      <c r="N268" s="2"/>
      <c r="O268" s="2"/>
      <c r="P268" s="2"/>
      <c r="Q268" s="2"/>
      <c r="R268" s="2"/>
      <c r="S268" s="2"/>
      <c r="T268" s="2"/>
      <c r="V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2:47" ht="15.75" customHeight="1" x14ac:dyDescent="0.2">
      <c r="B269" s="2"/>
      <c r="C269" s="2"/>
      <c r="D269" s="2"/>
      <c r="E269" s="2"/>
      <c r="F269" s="2"/>
      <c r="G269" s="2"/>
      <c r="H269" s="2"/>
      <c r="I269" s="2"/>
      <c r="J269" s="2"/>
      <c r="K269" s="2"/>
      <c r="L269" s="2"/>
      <c r="M269" s="2"/>
      <c r="N269" s="2"/>
      <c r="O269" s="2"/>
      <c r="P269" s="2"/>
      <c r="Q269" s="2"/>
      <c r="R269" s="2"/>
      <c r="S269" s="1"/>
      <c r="T269" s="2"/>
      <c r="V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2:47" ht="15.75" customHeight="1" x14ac:dyDescent="0.2">
      <c r="B270" s="2"/>
      <c r="C270" s="2"/>
      <c r="D270" s="2"/>
      <c r="E270" s="2"/>
      <c r="F270" s="2"/>
      <c r="G270" s="2"/>
      <c r="H270" s="2"/>
      <c r="I270" s="2"/>
      <c r="J270" s="2"/>
      <c r="K270" s="2"/>
      <c r="L270" s="2"/>
      <c r="M270" s="2"/>
      <c r="N270" s="2"/>
      <c r="O270" s="2"/>
      <c r="P270" s="2"/>
      <c r="Q270" s="2"/>
      <c r="R270" s="2"/>
      <c r="S270" s="1"/>
      <c r="T270" s="2"/>
      <c r="V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2:47" ht="15.75" customHeight="1" x14ac:dyDescent="0.2">
      <c r="B271" s="2"/>
      <c r="C271" s="2"/>
      <c r="D271" s="2"/>
      <c r="E271" s="2"/>
      <c r="F271" s="2"/>
      <c r="G271" s="2"/>
      <c r="H271" s="2"/>
      <c r="I271" s="2"/>
      <c r="J271" s="2"/>
      <c r="K271" s="2"/>
      <c r="L271" s="2"/>
      <c r="M271" s="2"/>
      <c r="N271" s="2"/>
      <c r="O271" s="2"/>
      <c r="P271" s="2"/>
      <c r="Q271" s="2"/>
      <c r="R271" s="2"/>
      <c r="S271" s="1"/>
      <c r="T271" s="2"/>
      <c r="V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2:47" ht="15.75" customHeight="1" x14ac:dyDescent="0.2">
      <c r="B272" s="2"/>
      <c r="C272" s="2"/>
      <c r="D272" s="2"/>
      <c r="E272" s="2"/>
      <c r="F272" s="2"/>
      <c r="G272" s="2"/>
      <c r="H272" s="2"/>
      <c r="I272" s="2"/>
      <c r="J272" s="2"/>
      <c r="K272" s="2"/>
      <c r="L272" s="2"/>
      <c r="M272" s="2"/>
      <c r="N272" s="2"/>
      <c r="O272" s="2"/>
      <c r="P272" s="2"/>
      <c r="Q272" s="2"/>
      <c r="R272" s="2"/>
      <c r="S272" s="1"/>
      <c r="T272" s="22"/>
      <c r="V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2:47" ht="15.75" customHeight="1" x14ac:dyDescent="0.2">
      <c r="B273" s="2"/>
      <c r="C273" s="2"/>
      <c r="D273" s="2"/>
      <c r="E273" s="2"/>
      <c r="F273" s="2"/>
      <c r="G273" s="2"/>
      <c r="H273" s="2"/>
      <c r="I273" s="2"/>
      <c r="J273" s="2"/>
      <c r="K273" s="2"/>
      <c r="L273" s="2"/>
      <c r="M273" s="2"/>
      <c r="N273" s="2"/>
      <c r="O273" s="2"/>
      <c r="P273" s="2"/>
      <c r="Q273" s="2"/>
      <c r="R273" s="2"/>
      <c r="S273" s="1"/>
      <c r="T273" s="22"/>
      <c r="V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2:47" ht="15.75" customHeight="1" x14ac:dyDescent="0.2">
      <c r="B274" s="2"/>
      <c r="C274" s="2"/>
      <c r="D274" s="2"/>
      <c r="E274" s="2"/>
      <c r="F274" s="2"/>
      <c r="G274" s="2"/>
      <c r="H274" s="2"/>
      <c r="I274" s="2"/>
      <c r="J274" s="2"/>
      <c r="K274" s="2"/>
      <c r="L274" s="2"/>
      <c r="M274" s="2"/>
      <c r="N274" s="2"/>
      <c r="O274" s="2"/>
      <c r="P274" s="2"/>
      <c r="Q274" s="2"/>
      <c r="R274" s="2"/>
      <c r="S274" s="1"/>
      <c r="T274" s="22"/>
      <c r="V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2:47" ht="15.75" customHeight="1" x14ac:dyDescent="0.2">
      <c r="B275" s="2"/>
      <c r="C275" s="2"/>
      <c r="D275" s="2"/>
      <c r="E275" s="2"/>
      <c r="F275" s="2"/>
      <c r="G275" s="2"/>
      <c r="H275" s="2"/>
      <c r="I275" s="2"/>
      <c r="J275" s="2"/>
      <c r="K275" s="2"/>
      <c r="L275" s="2"/>
      <c r="M275" s="2"/>
      <c r="N275" s="2"/>
      <c r="O275" s="2"/>
      <c r="P275" s="2"/>
      <c r="Q275" s="2"/>
      <c r="R275" s="2"/>
      <c r="S275" s="1"/>
      <c r="T275" s="22"/>
      <c r="V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2:47" ht="15.75" customHeight="1" x14ac:dyDescent="0.2">
      <c r="B276" s="2"/>
      <c r="C276" s="2"/>
      <c r="D276" s="2"/>
      <c r="E276" s="2"/>
      <c r="F276" s="2"/>
      <c r="G276" s="2"/>
      <c r="H276" s="2"/>
      <c r="I276" s="2"/>
      <c r="J276" s="2"/>
      <c r="K276" s="2"/>
      <c r="L276" s="2"/>
      <c r="M276" s="2"/>
      <c r="N276" s="2"/>
      <c r="O276" s="2"/>
      <c r="P276" s="2"/>
      <c r="Q276" s="2"/>
      <c r="R276" s="2"/>
      <c r="S276" s="1"/>
      <c r="T276" s="22"/>
      <c r="V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2:47" ht="15.75" customHeight="1" x14ac:dyDescent="0.2">
      <c r="B277" s="2"/>
      <c r="C277" s="2"/>
      <c r="D277" s="2"/>
      <c r="E277" s="2"/>
      <c r="F277" s="2"/>
      <c r="G277" s="2"/>
      <c r="H277" s="2"/>
      <c r="I277" s="2"/>
      <c r="J277" s="2"/>
      <c r="K277" s="2"/>
      <c r="L277" s="2"/>
      <c r="M277" s="2"/>
      <c r="N277" s="2"/>
      <c r="O277" s="2"/>
      <c r="P277" s="2"/>
      <c r="Q277" s="2"/>
      <c r="R277" s="2"/>
      <c r="S277" s="1"/>
      <c r="T277" s="22"/>
      <c r="V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2:47" ht="15.75" customHeight="1" x14ac:dyDescent="0.2">
      <c r="B278" s="2"/>
      <c r="C278" s="2"/>
      <c r="D278" s="2"/>
      <c r="E278" s="2"/>
      <c r="F278" s="2"/>
      <c r="G278" s="2"/>
      <c r="H278" s="2"/>
      <c r="I278" s="2"/>
      <c r="J278" s="2"/>
      <c r="K278" s="2"/>
      <c r="L278" s="2"/>
      <c r="M278" s="2"/>
      <c r="N278" s="2"/>
      <c r="O278" s="2"/>
      <c r="P278" s="2"/>
      <c r="Q278" s="2"/>
      <c r="R278" s="2"/>
      <c r="S278" s="1"/>
      <c r="T278" s="22"/>
      <c r="V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2:47" ht="15.75" customHeight="1" x14ac:dyDescent="0.2">
      <c r="B279" s="2"/>
      <c r="C279" s="2"/>
      <c r="D279" s="2"/>
      <c r="E279" s="2"/>
      <c r="F279" s="2"/>
      <c r="G279" s="2"/>
      <c r="H279" s="2"/>
      <c r="I279" s="2"/>
      <c r="J279" s="2"/>
      <c r="K279" s="2"/>
      <c r="L279" s="2"/>
      <c r="M279" s="2"/>
      <c r="N279" s="2"/>
      <c r="O279" s="2"/>
      <c r="P279" s="2"/>
      <c r="Q279" s="2"/>
      <c r="R279" s="2"/>
      <c r="S279" s="1"/>
      <c r="T279" s="22"/>
      <c r="V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2:47" ht="15.75" customHeight="1" x14ac:dyDescent="0.2">
      <c r="B280" s="2"/>
      <c r="C280" s="2"/>
      <c r="D280" s="2"/>
      <c r="E280" s="2"/>
      <c r="F280" s="2"/>
      <c r="G280" s="2"/>
      <c r="H280" s="2"/>
      <c r="I280" s="2"/>
      <c r="J280" s="2"/>
      <c r="K280" s="2"/>
      <c r="L280" s="2"/>
      <c r="M280" s="2"/>
      <c r="N280" s="2"/>
      <c r="O280" s="2"/>
      <c r="P280" s="2"/>
      <c r="Q280" s="2"/>
      <c r="R280" s="2"/>
      <c r="S280" s="1"/>
      <c r="T280" s="22"/>
      <c r="V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2:47" ht="15.75" customHeight="1" x14ac:dyDescent="0.2">
      <c r="B281" s="2"/>
      <c r="C281" s="2"/>
      <c r="D281" s="2"/>
      <c r="E281" s="2"/>
      <c r="F281" s="2"/>
      <c r="G281" s="2"/>
      <c r="H281" s="2"/>
      <c r="I281" s="2"/>
      <c r="J281" s="2"/>
      <c r="K281" s="2"/>
      <c r="L281" s="2"/>
      <c r="M281" s="2"/>
      <c r="N281" s="2"/>
      <c r="O281" s="2"/>
      <c r="P281" s="2"/>
      <c r="Q281" s="2"/>
      <c r="R281" s="2"/>
      <c r="S281" s="1"/>
      <c r="T281" s="22"/>
      <c r="V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2:47" ht="15.75" customHeight="1" x14ac:dyDescent="0.2">
      <c r="B282" s="22"/>
      <c r="C282" s="22"/>
      <c r="D282" s="22"/>
      <c r="L282" s="22"/>
      <c r="N282" s="1"/>
      <c r="O282" s="22"/>
      <c r="P282" s="22"/>
      <c r="Q282" s="22"/>
      <c r="S282" s="1"/>
      <c r="T282" s="22"/>
      <c r="V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2:47" ht="15.75" customHeight="1" x14ac:dyDescent="0.2">
      <c r="B283" s="22"/>
      <c r="C283" s="22"/>
      <c r="D283" s="22"/>
      <c r="L283" s="22"/>
      <c r="N283" s="1"/>
      <c r="O283" s="22"/>
      <c r="P283" s="22"/>
      <c r="Q283" s="22"/>
      <c r="S283" s="1"/>
      <c r="T283" s="22"/>
      <c r="V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2:47" ht="15.75" customHeight="1" x14ac:dyDescent="0.2">
      <c r="B284" s="22"/>
      <c r="C284" s="22"/>
      <c r="D284" s="22"/>
      <c r="L284" s="22"/>
      <c r="N284" s="1"/>
      <c r="O284" s="22"/>
      <c r="P284" s="22"/>
      <c r="Q284" s="22"/>
      <c r="S284" s="1"/>
      <c r="T284" s="22"/>
      <c r="V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2:47" ht="15.75" customHeight="1" x14ac:dyDescent="0.2">
      <c r="B285" s="22"/>
      <c r="C285" s="22"/>
      <c r="D285" s="22"/>
      <c r="L285" s="22"/>
      <c r="N285" s="1"/>
      <c r="O285" s="22"/>
      <c r="P285" s="22"/>
      <c r="Q285" s="22"/>
      <c r="S285" s="1"/>
      <c r="T285" s="22"/>
      <c r="V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2:47" ht="15.75" customHeight="1" x14ac:dyDescent="0.2">
      <c r="B286" s="22"/>
      <c r="C286" s="22"/>
      <c r="D286" s="22"/>
      <c r="L286" s="22"/>
      <c r="N286" s="1"/>
      <c r="O286" s="22"/>
      <c r="P286" s="22"/>
      <c r="Q286" s="22"/>
      <c r="S286" s="1"/>
      <c r="T286" s="22"/>
      <c r="V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2:47" ht="15.75" customHeight="1" x14ac:dyDescent="0.2">
      <c r="B287" s="22"/>
      <c r="C287" s="22"/>
      <c r="D287" s="22"/>
      <c r="L287" s="22"/>
      <c r="N287" s="1"/>
      <c r="O287" s="22"/>
      <c r="P287" s="22"/>
      <c r="Q287" s="22"/>
      <c r="S287" s="1"/>
      <c r="T287" s="22"/>
      <c r="V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2:47" ht="15.75" customHeight="1" x14ac:dyDescent="0.2">
      <c r="B288" s="22"/>
      <c r="C288" s="22"/>
      <c r="D288" s="22"/>
      <c r="L288" s="22"/>
      <c r="N288" s="1"/>
      <c r="O288" s="22"/>
      <c r="P288" s="22"/>
      <c r="Q288" s="22"/>
      <c r="S288" s="1"/>
      <c r="T288" s="22"/>
      <c r="V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2:47" ht="15.75" customHeight="1" x14ac:dyDescent="0.2">
      <c r="B289" s="22"/>
      <c r="C289" s="22"/>
      <c r="D289" s="22"/>
      <c r="L289" s="22"/>
      <c r="N289" s="1"/>
      <c r="O289" s="22"/>
      <c r="P289" s="22"/>
      <c r="Q289" s="22"/>
      <c r="S289" s="1"/>
      <c r="T289" s="22"/>
      <c r="V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2:47" ht="15.75" customHeight="1" x14ac:dyDescent="0.2">
      <c r="B290" s="22"/>
      <c r="C290" s="22"/>
      <c r="D290" s="22"/>
      <c r="L290" s="22"/>
      <c r="N290" s="1"/>
      <c r="O290" s="22"/>
      <c r="P290" s="22"/>
      <c r="Q290" s="22"/>
      <c r="S290" s="1"/>
      <c r="T290" s="22"/>
      <c r="V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2:47" ht="15.75" customHeight="1" x14ac:dyDescent="0.2">
      <c r="B291" s="22"/>
      <c r="C291" s="22"/>
      <c r="D291" s="22"/>
      <c r="L291" s="22"/>
      <c r="N291" s="1"/>
      <c r="O291" s="22"/>
      <c r="P291" s="22"/>
      <c r="Q291" s="22"/>
      <c r="S291" s="1"/>
      <c r="T291" s="22"/>
      <c r="V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2:47" ht="15.75" customHeight="1" x14ac:dyDescent="0.2">
      <c r="B292" s="22"/>
      <c r="C292" s="22"/>
      <c r="D292" s="22"/>
      <c r="L292" s="22"/>
      <c r="N292" s="1"/>
      <c r="O292" s="22"/>
      <c r="P292" s="22"/>
      <c r="Q292" s="22"/>
      <c r="S292" s="1"/>
      <c r="T292" s="22"/>
      <c r="V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2:47" ht="15.75" customHeight="1" x14ac:dyDescent="0.2">
      <c r="B293" s="22"/>
      <c r="C293" s="22"/>
      <c r="D293" s="22"/>
      <c r="L293" s="22"/>
      <c r="N293" s="1"/>
      <c r="O293" s="22"/>
      <c r="P293" s="22"/>
      <c r="Q293" s="22"/>
      <c r="S293" s="1"/>
      <c r="T293" s="22"/>
      <c r="V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2:47" ht="15.75" customHeight="1" x14ac:dyDescent="0.2">
      <c r="B294" s="22"/>
      <c r="C294" s="22"/>
      <c r="D294" s="22"/>
      <c r="L294" s="22"/>
      <c r="N294" s="1"/>
      <c r="O294" s="22"/>
      <c r="P294" s="22"/>
      <c r="Q294" s="22"/>
      <c r="S294" s="1"/>
      <c r="T294" s="22"/>
      <c r="V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2:47" ht="15.75" customHeight="1" x14ac:dyDescent="0.2">
      <c r="B295" s="22"/>
      <c r="C295" s="22"/>
      <c r="D295" s="22"/>
      <c r="L295" s="22"/>
      <c r="N295" s="1"/>
      <c r="O295" s="22"/>
      <c r="P295" s="22"/>
      <c r="Q295" s="22"/>
      <c r="S295" s="1"/>
      <c r="T295" s="22"/>
      <c r="V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2:47" ht="15.75" customHeight="1" x14ac:dyDescent="0.2">
      <c r="B296" s="22"/>
      <c r="C296" s="22"/>
      <c r="D296" s="22"/>
      <c r="L296" s="22"/>
      <c r="N296" s="1"/>
      <c r="O296" s="22"/>
      <c r="P296" s="22"/>
      <c r="Q296" s="22"/>
      <c r="S296" s="1"/>
      <c r="T296" s="22"/>
      <c r="V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2:47" ht="15.75" customHeight="1" x14ac:dyDescent="0.2">
      <c r="B297" s="22"/>
      <c r="C297" s="22"/>
      <c r="D297" s="22"/>
      <c r="L297" s="22"/>
      <c r="N297" s="1"/>
      <c r="O297" s="22"/>
      <c r="P297" s="22"/>
      <c r="Q297" s="22"/>
      <c r="S297" s="1"/>
      <c r="T297" s="22"/>
      <c r="V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2:47" ht="15.75" customHeight="1" x14ac:dyDescent="0.2">
      <c r="B298" s="22"/>
      <c r="C298" s="22"/>
      <c r="D298" s="22"/>
      <c r="L298" s="22"/>
      <c r="N298" s="1"/>
      <c r="O298" s="22"/>
      <c r="P298" s="22"/>
      <c r="Q298" s="22"/>
      <c r="S298" s="1"/>
      <c r="T298" s="22"/>
      <c r="V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2:47" ht="15.75" customHeight="1" x14ac:dyDescent="0.2">
      <c r="B299" s="22"/>
      <c r="C299" s="22"/>
      <c r="D299" s="22"/>
      <c r="L299" s="22"/>
      <c r="N299" s="1"/>
      <c r="O299" s="22"/>
      <c r="P299" s="22"/>
      <c r="Q299" s="22"/>
      <c r="S299" s="1"/>
      <c r="T299" s="22"/>
      <c r="V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2:47" ht="15.75" customHeight="1" x14ac:dyDescent="0.2">
      <c r="B300" s="22"/>
      <c r="C300" s="22"/>
      <c r="D300" s="22"/>
      <c r="L300" s="22"/>
      <c r="N300" s="1"/>
      <c r="O300" s="22"/>
      <c r="P300" s="22"/>
      <c r="Q300" s="22"/>
      <c r="S300" s="1"/>
      <c r="T300" s="22"/>
      <c r="V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2:47" ht="15.75" customHeight="1" x14ac:dyDescent="0.2">
      <c r="B301" s="22"/>
      <c r="C301" s="22"/>
      <c r="D301" s="22"/>
      <c r="L301" s="22"/>
      <c r="N301" s="1"/>
      <c r="O301" s="22"/>
      <c r="P301" s="22"/>
      <c r="Q301" s="22"/>
      <c r="S301" s="1"/>
      <c r="T301" s="22"/>
      <c r="V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2:47" ht="15.75" customHeight="1" x14ac:dyDescent="0.2">
      <c r="B302" s="22"/>
      <c r="C302" s="22"/>
      <c r="D302" s="22"/>
      <c r="L302" s="22"/>
      <c r="N302" s="1"/>
      <c r="O302" s="22"/>
      <c r="P302" s="22"/>
      <c r="Q302" s="22"/>
      <c r="S302" s="1"/>
      <c r="T302" s="22"/>
      <c r="V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2:47" ht="15.75" customHeight="1" x14ac:dyDescent="0.2">
      <c r="B303" s="22"/>
      <c r="C303" s="22"/>
      <c r="D303" s="22"/>
      <c r="L303" s="22"/>
      <c r="N303" s="1"/>
      <c r="O303" s="22"/>
      <c r="P303" s="22"/>
      <c r="Q303" s="22"/>
      <c r="S303" s="1"/>
      <c r="T303" s="22"/>
      <c r="V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2:47" ht="15.75" customHeight="1" x14ac:dyDescent="0.2">
      <c r="B304" s="22"/>
      <c r="C304" s="22"/>
      <c r="D304" s="22"/>
      <c r="L304" s="22"/>
      <c r="N304" s="1"/>
      <c r="O304" s="22"/>
      <c r="P304" s="22"/>
      <c r="Q304" s="22"/>
      <c r="S304" s="1"/>
      <c r="T304" s="22"/>
      <c r="V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2:47" ht="15.75" customHeight="1" x14ac:dyDescent="0.2">
      <c r="B305" s="22"/>
      <c r="C305" s="22"/>
      <c r="D305" s="22"/>
      <c r="L305" s="22"/>
      <c r="N305" s="1"/>
      <c r="O305" s="22"/>
      <c r="P305" s="22"/>
      <c r="Q305" s="22"/>
      <c r="S305" s="1"/>
      <c r="T305" s="22"/>
      <c r="V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2:47" ht="15.75" customHeight="1" x14ac:dyDescent="0.2">
      <c r="B306" s="22"/>
      <c r="C306" s="22"/>
      <c r="D306" s="22"/>
      <c r="L306" s="22"/>
      <c r="N306" s="1"/>
      <c r="O306" s="22"/>
      <c r="P306" s="22"/>
      <c r="Q306" s="22"/>
      <c r="S306" s="1"/>
      <c r="T306" s="22"/>
      <c r="V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2:47" ht="15.75" customHeight="1" x14ac:dyDescent="0.2">
      <c r="B307" s="22"/>
      <c r="C307" s="22"/>
      <c r="D307" s="22"/>
      <c r="L307" s="22"/>
      <c r="N307" s="1"/>
      <c r="O307" s="22"/>
      <c r="P307" s="22"/>
      <c r="Q307" s="22"/>
      <c r="S307" s="1"/>
      <c r="T307" s="22"/>
      <c r="V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2:47" ht="15.75" customHeight="1" x14ac:dyDescent="0.2">
      <c r="B308" s="22"/>
      <c r="C308" s="22"/>
      <c r="D308" s="22"/>
      <c r="L308" s="22"/>
      <c r="N308" s="1"/>
      <c r="O308" s="22"/>
      <c r="P308" s="22"/>
      <c r="Q308" s="22"/>
      <c r="S308" s="1"/>
      <c r="T308" s="22"/>
      <c r="V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2:47" ht="15.75" customHeight="1" x14ac:dyDescent="0.2">
      <c r="B309" s="22"/>
      <c r="C309" s="22"/>
      <c r="D309" s="22"/>
      <c r="L309" s="22"/>
      <c r="N309" s="1"/>
      <c r="O309" s="22"/>
      <c r="P309" s="22"/>
      <c r="Q309" s="22"/>
      <c r="S309" s="1"/>
      <c r="T309" s="22"/>
      <c r="V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2:47" ht="15.75" customHeight="1" x14ac:dyDescent="0.2">
      <c r="B310" s="22"/>
      <c r="C310" s="22"/>
      <c r="D310" s="22"/>
      <c r="L310" s="22"/>
      <c r="N310" s="1"/>
      <c r="O310" s="22"/>
      <c r="P310" s="22"/>
      <c r="Q310" s="22"/>
      <c r="S310" s="1"/>
      <c r="T310" s="22"/>
      <c r="V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2:47" ht="15.75" customHeight="1" x14ac:dyDescent="0.2">
      <c r="B311" s="22"/>
      <c r="C311" s="22"/>
      <c r="D311" s="22"/>
      <c r="L311" s="22"/>
      <c r="N311" s="1"/>
      <c r="O311" s="22"/>
      <c r="P311" s="22"/>
      <c r="Q311" s="22"/>
      <c r="S311" s="1"/>
      <c r="T311" s="22"/>
      <c r="V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2:47" ht="15.75" customHeight="1" x14ac:dyDescent="0.2">
      <c r="B312" s="22"/>
      <c r="C312" s="22"/>
      <c r="D312" s="22"/>
      <c r="L312" s="22"/>
      <c r="N312" s="1"/>
      <c r="O312" s="22"/>
      <c r="P312" s="22"/>
      <c r="Q312" s="22"/>
      <c r="S312" s="1"/>
      <c r="T312" s="22"/>
      <c r="V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2:47" ht="15.75" customHeight="1" x14ac:dyDescent="0.2">
      <c r="B313" s="22"/>
      <c r="C313" s="22"/>
      <c r="D313" s="22"/>
      <c r="L313" s="22"/>
      <c r="N313" s="1"/>
      <c r="O313" s="22"/>
      <c r="P313" s="22"/>
      <c r="Q313" s="22"/>
      <c r="S313" s="1"/>
      <c r="T313" s="22"/>
      <c r="V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2:47" ht="15.75" customHeight="1" x14ac:dyDescent="0.2">
      <c r="B314" s="22"/>
      <c r="C314" s="22"/>
      <c r="D314" s="22"/>
      <c r="L314" s="22"/>
      <c r="N314" s="1"/>
      <c r="O314" s="22"/>
      <c r="P314" s="22"/>
      <c r="Q314" s="22"/>
      <c r="S314" s="1"/>
      <c r="T314" s="22"/>
      <c r="V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2:47" ht="15.75" customHeight="1" x14ac:dyDescent="0.2">
      <c r="B315" s="22"/>
      <c r="C315" s="22"/>
      <c r="D315" s="22"/>
      <c r="L315" s="22"/>
      <c r="N315" s="1"/>
      <c r="O315" s="22"/>
      <c r="P315" s="22"/>
      <c r="Q315" s="22"/>
      <c r="S315" s="1"/>
      <c r="T315" s="22"/>
      <c r="V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2:47" ht="15.75" customHeight="1" x14ac:dyDescent="0.2">
      <c r="B316" s="22"/>
      <c r="C316" s="22"/>
      <c r="D316" s="22"/>
      <c r="L316" s="22"/>
      <c r="N316" s="1"/>
      <c r="O316" s="22"/>
      <c r="P316" s="22"/>
      <c r="Q316" s="22"/>
      <c r="S316" s="1"/>
      <c r="T316" s="22"/>
      <c r="V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2:47" ht="15.75" customHeight="1" x14ac:dyDescent="0.2">
      <c r="B317" s="22"/>
      <c r="C317" s="22"/>
      <c r="D317" s="22"/>
      <c r="L317" s="22"/>
      <c r="N317" s="1"/>
      <c r="O317" s="22"/>
      <c r="P317" s="22"/>
      <c r="Q317" s="22"/>
      <c r="S317" s="1"/>
      <c r="T317" s="22"/>
      <c r="V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2:47" ht="15.75" customHeight="1" x14ac:dyDescent="0.2">
      <c r="B318" s="22"/>
      <c r="C318" s="22"/>
      <c r="D318" s="22"/>
      <c r="L318" s="22"/>
      <c r="N318" s="1"/>
      <c r="O318" s="22"/>
      <c r="P318" s="22"/>
      <c r="Q318" s="22"/>
      <c r="S318" s="1"/>
      <c r="T318" s="22"/>
      <c r="V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2:47" ht="15.75" customHeight="1" x14ac:dyDescent="0.2">
      <c r="B319" s="22"/>
      <c r="C319" s="22"/>
      <c r="D319" s="22"/>
      <c r="L319" s="22"/>
      <c r="N319" s="1"/>
      <c r="O319" s="22"/>
      <c r="P319" s="22"/>
      <c r="Q319" s="22"/>
      <c r="S319" s="1"/>
      <c r="T319" s="22"/>
      <c r="V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2:47" ht="15.75" customHeight="1" x14ac:dyDescent="0.2">
      <c r="B320" s="22"/>
      <c r="C320" s="22"/>
      <c r="D320" s="22"/>
      <c r="L320" s="22"/>
      <c r="N320" s="1"/>
      <c r="O320" s="22"/>
      <c r="P320" s="22"/>
      <c r="Q320" s="22"/>
      <c r="S320" s="1"/>
      <c r="T320" s="22"/>
      <c r="V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2:47" ht="15.75" customHeight="1" x14ac:dyDescent="0.2">
      <c r="B321" s="22"/>
      <c r="C321" s="22"/>
      <c r="D321" s="22"/>
      <c r="L321" s="22"/>
      <c r="N321" s="1"/>
      <c r="O321" s="22"/>
      <c r="P321" s="22"/>
      <c r="Q321" s="22"/>
      <c r="S321" s="1"/>
      <c r="T321" s="22"/>
      <c r="V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2:47" ht="15.75" customHeight="1" x14ac:dyDescent="0.2">
      <c r="B322" s="22"/>
      <c r="C322" s="22"/>
      <c r="D322" s="22"/>
      <c r="L322" s="22"/>
      <c r="N322" s="1"/>
      <c r="O322" s="22"/>
      <c r="P322" s="22"/>
      <c r="Q322" s="22"/>
      <c r="S322" s="1"/>
      <c r="T322" s="22"/>
      <c r="V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2:47" ht="15.75" customHeight="1" x14ac:dyDescent="0.2">
      <c r="B323" s="22"/>
      <c r="C323" s="22"/>
      <c r="D323" s="22"/>
      <c r="L323" s="22"/>
      <c r="N323" s="1"/>
      <c r="O323" s="22"/>
      <c r="P323" s="22"/>
      <c r="Q323" s="22"/>
      <c r="S323" s="1"/>
      <c r="T323" s="22"/>
      <c r="V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2:47" ht="15.75" customHeight="1" x14ac:dyDescent="0.2">
      <c r="B324" s="22"/>
      <c r="C324" s="22"/>
      <c r="D324" s="22"/>
      <c r="L324" s="22"/>
      <c r="N324" s="1"/>
      <c r="O324" s="22"/>
      <c r="P324" s="22"/>
      <c r="Q324" s="22"/>
      <c r="S324" s="1"/>
      <c r="T324" s="22"/>
      <c r="V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2:47" ht="15.75" customHeight="1" x14ac:dyDescent="0.2">
      <c r="B325" s="22"/>
      <c r="C325" s="22"/>
      <c r="D325" s="22"/>
      <c r="L325" s="22"/>
      <c r="N325" s="1"/>
      <c r="O325" s="22"/>
      <c r="P325" s="22"/>
      <c r="Q325" s="22"/>
      <c r="S325" s="1"/>
      <c r="T325" s="22"/>
      <c r="V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2:47" ht="15.75" customHeight="1" x14ac:dyDescent="0.2">
      <c r="B326" s="22"/>
      <c r="C326" s="22"/>
      <c r="D326" s="22"/>
      <c r="L326" s="22"/>
      <c r="N326" s="1"/>
      <c r="O326" s="22"/>
      <c r="P326" s="22"/>
      <c r="Q326" s="22"/>
      <c r="S326" s="1"/>
      <c r="T326" s="22"/>
      <c r="V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2:47" ht="15.75" customHeight="1" x14ac:dyDescent="0.2">
      <c r="B327" s="22"/>
      <c r="C327" s="22"/>
      <c r="D327" s="22"/>
      <c r="L327" s="22"/>
      <c r="N327" s="1"/>
      <c r="O327" s="22"/>
      <c r="P327" s="22"/>
      <c r="Q327" s="22"/>
      <c r="S327" s="1"/>
      <c r="T327" s="22"/>
      <c r="V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2:47" ht="15.75" customHeight="1" x14ac:dyDescent="0.2">
      <c r="B328" s="22"/>
      <c r="C328" s="22"/>
      <c r="D328" s="22"/>
      <c r="L328" s="22"/>
      <c r="N328" s="1"/>
      <c r="O328" s="22"/>
      <c r="P328" s="22"/>
      <c r="Q328" s="22"/>
      <c r="S328" s="1"/>
      <c r="T328" s="22"/>
      <c r="V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2:47" ht="15.75" customHeight="1" x14ac:dyDescent="0.2">
      <c r="B329" s="22"/>
      <c r="C329" s="22"/>
      <c r="D329" s="22"/>
      <c r="L329" s="22"/>
      <c r="N329" s="1"/>
      <c r="O329" s="22"/>
      <c r="P329" s="22"/>
      <c r="Q329" s="22"/>
      <c r="S329" s="1"/>
      <c r="T329" s="22"/>
      <c r="V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2:47" ht="15.75" customHeight="1" x14ac:dyDescent="0.2">
      <c r="B330" s="22"/>
      <c r="C330" s="22"/>
      <c r="D330" s="22"/>
      <c r="L330" s="22"/>
      <c r="N330" s="1"/>
      <c r="O330" s="22"/>
      <c r="P330" s="22"/>
      <c r="Q330" s="22"/>
      <c r="S330" s="1"/>
      <c r="T330" s="22"/>
      <c r="V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2:47" ht="15.75" customHeight="1" x14ac:dyDescent="0.2">
      <c r="B331" s="22"/>
      <c r="C331" s="22"/>
      <c r="D331" s="22"/>
      <c r="L331" s="22"/>
      <c r="N331" s="1"/>
      <c r="O331" s="22"/>
      <c r="P331" s="22"/>
      <c r="Q331" s="22"/>
      <c r="S331" s="1"/>
      <c r="T331" s="22"/>
      <c r="V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2:47" ht="15.75" customHeight="1" x14ac:dyDescent="0.2">
      <c r="B332" s="22"/>
      <c r="C332" s="22"/>
      <c r="D332" s="22"/>
      <c r="L332" s="22"/>
      <c r="N332" s="1"/>
      <c r="O332" s="22"/>
      <c r="P332" s="22"/>
      <c r="Q332" s="22"/>
      <c r="S332" s="1"/>
      <c r="T332" s="22"/>
      <c r="V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2:47" ht="15.75" customHeight="1" x14ac:dyDescent="0.2">
      <c r="B333" s="22"/>
      <c r="C333" s="22"/>
      <c r="D333" s="22"/>
      <c r="L333" s="22"/>
      <c r="N333" s="1"/>
      <c r="O333" s="22"/>
      <c r="P333" s="22"/>
      <c r="Q333" s="22"/>
      <c r="S333" s="1"/>
      <c r="T333" s="22"/>
      <c r="V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2:47" ht="15.75" customHeight="1" x14ac:dyDescent="0.2">
      <c r="B334" s="22"/>
      <c r="C334" s="22"/>
      <c r="D334" s="22"/>
      <c r="L334" s="22"/>
      <c r="N334" s="1"/>
      <c r="O334" s="22"/>
      <c r="P334" s="22"/>
      <c r="Q334" s="22"/>
      <c r="S334" s="1"/>
      <c r="T334" s="22"/>
      <c r="V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2:47" ht="15.75" customHeight="1" x14ac:dyDescent="0.2">
      <c r="B335" s="22"/>
      <c r="C335" s="22"/>
      <c r="D335" s="22"/>
      <c r="L335" s="22"/>
      <c r="N335" s="1"/>
      <c r="O335" s="22"/>
      <c r="P335" s="22"/>
      <c r="Q335" s="22"/>
      <c r="S335" s="1"/>
      <c r="T335" s="22"/>
      <c r="V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2:47" ht="15.75" customHeight="1" x14ac:dyDescent="0.2">
      <c r="B336" s="22"/>
      <c r="C336" s="22"/>
      <c r="D336" s="22"/>
      <c r="L336" s="22"/>
      <c r="N336" s="1"/>
      <c r="O336" s="22"/>
      <c r="P336" s="22"/>
      <c r="Q336" s="22"/>
      <c r="S336" s="1"/>
      <c r="T336" s="22"/>
      <c r="V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2:47" ht="15.75" customHeight="1" x14ac:dyDescent="0.2">
      <c r="B337" s="22"/>
      <c r="C337" s="22"/>
      <c r="D337" s="22"/>
      <c r="L337" s="22"/>
      <c r="N337" s="1"/>
      <c r="O337" s="22"/>
      <c r="P337" s="22"/>
      <c r="Q337" s="22"/>
      <c r="S337" s="1"/>
      <c r="T337" s="22"/>
      <c r="V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2:47" ht="15.75" customHeight="1" x14ac:dyDescent="0.2">
      <c r="B338" s="22"/>
      <c r="C338" s="22"/>
      <c r="D338" s="22"/>
      <c r="L338" s="22"/>
      <c r="N338" s="1"/>
      <c r="O338" s="22"/>
      <c r="P338" s="22"/>
      <c r="Q338" s="22"/>
      <c r="S338" s="1"/>
      <c r="T338" s="22"/>
      <c r="V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2:47" ht="15.75" customHeight="1" x14ac:dyDescent="0.2">
      <c r="B339" s="22"/>
      <c r="C339" s="22"/>
      <c r="D339" s="22"/>
      <c r="L339" s="22"/>
      <c r="N339" s="1"/>
      <c r="O339" s="22"/>
      <c r="P339" s="22"/>
      <c r="Q339" s="22"/>
      <c r="S339" s="1"/>
      <c r="T339" s="22"/>
      <c r="V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2:47" ht="15.75" customHeight="1" x14ac:dyDescent="0.2">
      <c r="B340" s="22"/>
      <c r="C340" s="22"/>
      <c r="D340" s="22"/>
      <c r="L340" s="22"/>
      <c r="N340" s="1"/>
      <c r="O340" s="22"/>
      <c r="P340" s="22"/>
      <c r="Q340" s="22"/>
      <c r="S340" s="1"/>
      <c r="T340" s="22"/>
      <c r="V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2:47" ht="15.75" customHeight="1" x14ac:dyDescent="0.2">
      <c r="B341" s="22"/>
      <c r="C341" s="22"/>
      <c r="D341" s="22"/>
      <c r="L341" s="22"/>
      <c r="N341" s="1"/>
      <c r="O341" s="22"/>
      <c r="P341" s="22"/>
      <c r="Q341" s="22"/>
      <c r="S341" s="1"/>
      <c r="T341" s="22"/>
      <c r="V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2:47" ht="15.75" customHeight="1" x14ac:dyDescent="0.2">
      <c r="B342" s="22"/>
      <c r="C342" s="22"/>
      <c r="D342" s="22"/>
      <c r="L342" s="22"/>
      <c r="N342" s="1"/>
      <c r="O342" s="22"/>
      <c r="P342" s="22"/>
      <c r="Q342" s="22"/>
      <c r="S342" s="1"/>
      <c r="T342" s="22"/>
      <c r="V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2:47" ht="15.75" customHeight="1" x14ac:dyDescent="0.2">
      <c r="B343" s="22"/>
      <c r="C343" s="22"/>
      <c r="D343" s="22"/>
      <c r="L343" s="22"/>
      <c r="N343" s="1"/>
      <c r="O343" s="22"/>
      <c r="P343" s="22"/>
      <c r="Q343" s="22"/>
      <c r="S343" s="1"/>
      <c r="T343" s="22"/>
      <c r="V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2:47" ht="15.75" customHeight="1" x14ac:dyDescent="0.2">
      <c r="B344" s="22"/>
      <c r="C344" s="22"/>
      <c r="D344" s="22"/>
      <c r="L344" s="22"/>
      <c r="N344" s="1"/>
      <c r="O344" s="22"/>
      <c r="P344" s="22"/>
      <c r="Q344" s="22"/>
      <c r="S344" s="1"/>
      <c r="T344" s="22"/>
      <c r="V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2:47" ht="15.75" customHeight="1" x14ac:dyDescent="0.2">
      <c r="B345" s="22"/>
      <c r="C345" s="22"/>
      <c r="D345" s="22"/>
      <c r="L345" s="22"/>
      <c r="N345" s="1"/>
      <c r="O345" s="22"/>
      <c r="P345" s="22"/>
      <c r="Q345" s="22"/>
      <c r="S345" s="1"/>
      <c r="T345" s="22"/>
      <c r="V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2:47" ht="15.75" customHeight="1" x14ac:dyDescent="0.2">
      <c r="B346" s="22"/>
      <c r="C346" s="22"/>
      <c r="D346" s="22"/>
      <c r="L346" s="22"/>
      <c r="N346" s="1"/>
      <c r="O346" s="22"/>
      <c r="P346" s="22"/>
      <c r="Q346" s="22"/>
      <c r="S346" s="1"/>
      <c r="T346" s="22"/>
      <c r="V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2:47" ht="15.75" customHeight="1" x14ac:dyDescent="0.2">
      <c r="B347" s="22"/>
      <c r="C347" s="22"/>
      <c r="D347" s="22"/>
      <c r="L347" s="22"/>
      <c r="N347" s="1"/>
      <c r="O347" s="22"/>
      <c r="P347" s="22"/>
      <c r="Q347" s="22"/>
      <c r="S347" s="1"/>
      <c r="T347" s="22"/>
      <c r="V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2:47" ht="15.75" customHeight="1" x14ac:dyDescent="0.2">
      <c r="B348" s="22"/>
      <c r="C348" s="22"/>
      <c r="D348" s="22"/>
      <c r="L348" s="22"/>
      <c r="N348" s="1"/>
      <c r="O348" s="22"/>
      <c r="P348" s="22"/>
      <c r="Q348" s="22"/>
      <c r="S348" s="1"/>
      <c r="T348" s="22"/>
      <c r="V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2:47" ht="15.75" customHeight="1" x14ac:dyDescent="0.2">
      <c r="B349" s="22"/>
      <c r="C349" s="22"/>
      <c r="D349" s="22"/>
      <c r="L349" s="22"/>
      <c r="N349" s="1"/>
      <c r="O349" s="22"/>
      <c r="P349" s="22"/>
      <c r="Q349" s="22"/>
      <c r="S349" s="1"/>
      <c r="T349" s="22"/>
      <c r="V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2:47" ht="15.75" customHeight="1" x14ac:dyDescent="0.2">
      <c r="B350" s="22"/>
      <c r="C350" s="22"/>
      <c r="D350" s="22"/>
      <c r="L350" s="22"/>
      <c r="N350" s="1"/>
      <c r="O350" s="22"/>
      <c r="P350" s="22"/>
      <c r="Q350" s="22"/>
      <c r="S350" s="1"/>
      <c r="T350" s="22"/>
      <c r="V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2:47" ht="15.75" customHeight="1" x14ac:dyDescent="0.2">
      <c r="B351" s="22"/>
      <c r="C351" s="22"/>
      <c r="D351" s="22"/>
      <c r="L351" s="22"/>
      <c r="N351" s="1"/>
      <c r="O351" s="22"/>
      <c r="P351" s="22"/>
      <c r="Q351" s="22"/>
      <c r="S351" s="1"/>
      <c r="T351" s="22"/>
      <c r="V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2:47" ht="15.75" customHeight="1" x14ac:dyDescent="0.2">
      <c r="B352" s="22"/>
      <c r="C352" s="22"/>
      <c r="D352" s="22"/>
      <c r="L352" s="22"/>
      <c r="N352" s="1"/>
      <c r="O352" s="22"/>
      <c r="P352" s="22"/>
      <c r="Q352" s="22"/>
      <c r="S352" s="1"/>
      <c r="T352" s="22"/>
      <c r="V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4:47" ht="15.75" customHeight="1" x14ac:dyDescent="0.2">
      <c r="D353" s="22"/>
      <c r="L353" s="22"/>
      <c r="N353" s="1"/>
      <c r="O353" s="22"/>
      <c r="P353" s="22"/>
      <c r="Q353" s="22"/>
      <c r="S353" s="1"/>
      <c r="T353" s="22"/>
      <c r="V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4:47" ht="15.75" customHeight="1" x14ac:dyDescent="0.2">
      <c r="D354" s="22"/>
      <c r="L354" s="22"/>
      <c r="N354" s="1"/>
      <c r="O354" s="22"/>
      <c r="P354" s="22"/>
      <c r="Q354" s="22"/>
      <c r="S354" s="1"/>
      <c r="T354" s="22"/>
      <c r="V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4:47" ht="15.75" customHeight="1" x14ac:dyDescent="0.2">
      <c r="D355" s="22"/>
      <c r="L355" s="22"/>
      <c r="N355" s="1"/>
      <c r="O355" s="22"/>
      <c r="P355" s="22"/>
      <c r="Q355" s="22"/>
      <c r="S355" s="1"/>
      <c r="T355" s="22"/>
      <c r="V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4:47" ht="15.75" customHeight="1" x14ac:dyDescent="0.2">
      <c r="D356" s="22"/>
      <c r="L356" s="22"/>
      <c r="N356" s="1"/>
      <c r="O356" s="22"/>
      <c r="P356" s="22"/>
      <c r="Q356" s="22"/>
      <c r="S356" s="1"/>
      <c r="T356" s="22"/>
      <c r="V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4:47" ht="15.75" customHeight="1" x14ac:dyDescent="0.2">
      <c r="D357" s="22"/>
      <c r="L357" s="22"/>
      <c r="N357" s="1"/>
      <c r="O357" s="22"/>
      <c r="P357" s="22"/>
      <c r="Q357" s="22"/>
      <c r="S357" s="1"/>
      <c r="T357" s="22"/>
      <c r="V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4:47" ht="15.75" customHeight="1" x14ac:dyDescent="0.2">
      <c r="D358" s="22"/>
      <c r="L358" s="22"/>
      <c r="N358" s="1"/>
      <c r="O358" s="22"/>
      <c r="P358" s="22"/>
      <c r="Q358" s="22"/>
      <c r="S358" s="1"/>
      <c r="T358" s="22"/>
      <c r="V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4:47" ht="15.75" customHeight="1" x14ac:dyDescent="0.2">
      <c r="D359" s="22"/>
      <c r="L359" s="22"/>
      <c r="N359" s="1"/>
      <c r="O359" s="22"/>
      <c r="P359" s="22"/>
      <c r="Q359" s="22"/>
      <c r="S359" s="1"/>
      <c r="T359" s="22"/>
      <c r="V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4:47" ht="15.75" customHeight="1" x14ac:dyDescent="0.2">
      <c r="D360" s="22"/>
      <c r="L360" s="22"/>
      <c r="N360" s="1"/>
      <c r="O360" s="22"/>
      <c r="P360" s="22"/>
      <c r="Q360" s="22"/>
      <c r="S360" s="1"/>
      <c r="T360" s="22"/>
      <c r="V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4:47" ht="15.75" customHeight="1" x14ac:dyDescent="0.2">
      <c r="D361" s="22"/>
      <c r="L361" s="22"/>
      <c r="N361" s="1"/>
      <c r="O361" s="22"/>
      <c r="P361" s="22"/>
      <c r="Q361" s="22"/>
      <c r="S361" s="1"/>
      <c r="T361" s="22"/>
      <c r="V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4:47" ht="15.75" customHeight="1" x14ac:dyDescent="0.2">
      <c r="D362" s="22"/>
      <c r="L362" s="22"/>
      <c r="N362" s="1"/>
      <c r="O362" s="22"/>
      <c r="P362" s="22"/>
      <c r="Q362" s="22"/>
      <c r="S362" s="1"/>
      <c r="T362" s="22"/>
      <c r="V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4:47" ht="15.75" customHeight="1" x14ac:dyDescent="0.2">
      <c r="D363" s="22"/>
      <c r="L363" s="22"/>
      <c r="N363" s="1"/>
      <c r="O363" s="22"/>
      <c r="P363" s="22"/>
      <c r="Q363" s="22"/>
      <c r="S363" s="1"/>
      <c r="T363" s="22"/>
      <c r="V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4:47" ht="15.75" customHeight="1" x14ac:dyDescent="0.2">
      <c r="D364" s="22"/>
      <c r="L364" s="22"/>
      <c r="N364" s="1"/>
      <c r="O364" s="22"/>
      <c r="P364" s="22"/>
      <c r="Q364" s="22"/>
      <c r="S364" s="1"/>
      <c r="T364" s="22"/>
      <c r="V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4:47" ht="15.75" customHeight="1" x14ac:dyDescent="0.2">
      <c r="D365" s="22"/>
      <c r="L365" s="22"/>
      <c r="N365" s="1"/>
      <c r="O365" s="22"/>
      <c r="P365" s="22"/>
      <c r="Q365" s="22"/>
      <c r="S365" s="1"/>
      <c r="T365" s="22"/>
      <c r="V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4:47" ht="15.75" customHeight="1" x14ac:dyDescent="0.2">
      <c r="D366" s="22"/>
      <c r="L366" s="22"/>
      <c r="N366" s="1"/>
      <c r="O366" s="22"/>
      <c r="P366" s="22"/>
      <c r="Q366" s="22"/>
      <c r="S366" s="1"/>
      <c r="T366" s="22"/>
      <c r="V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4:47" ht="15.75" customHeight="1" x14ac:dyDescent="0.2">
      <c r="D367" s="22"/>
      <c r="L367" s="22"/>
      <c r="N367" s="1"/>
      <c r="O367" s="22"/>
      <c r="P367" s="22"/>
      <c r="Q367" s="22"/>
      <c r="S367" s="1"/>
      <c r="T367" s="22"/>
      <c r="V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4:47" ht="15.75" customHeight="1" x14ac:dyDescent="0.2">
      <c r="D368" s="22"/>
      <c r="L368" s="22"/>
      <c r="N368" s="1"/>
      <c r="O368" s="22"/>
      <c r="P368" s="22"/>
      <c r="Q368" s="22"/>
      <c r="S368" s="1"/>
      <c r="T368" s="22"/>
      <c r="V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4:47" ht="15.75" customHeight="1" x14ac:dyDescent="0.2">
      <c r="D369" s="22"/>
      <c r="L369" s="22"/>
      <c r="N369" s="1"/>
      <c r="O369" s="22"/>
      <c r="P369" s="22"/>
      <c r="Q369" s="22"/>
      <c r="S369" s="1"/>
      <c r="T369" s="22"/>
      <c r="V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4:47" ht="15.75" customHeight="1" x14ac:dyDescent="0.2">
      <c r="D370" s="22"/>
      <c r="L370" s="22"/>
      <c r="N370" s="1"/>
      <c r="O370" s="22"/>
      <c r="P370" s="22"/>
      <c r="Q370" s="22"/>
      <c r="S370" s="1"/>
      <c r="T370" s="22"/>
      <c r="V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4:47" ht="15.75" customHeight="1" x14ac:dyDescent="0.2">
      <c r="D371" s="22"/>
      <c r="L371" s="22"/>
      <c r="N371" s="1"/>
      <c r="O371" s="22"/>
      <c r="P371" s="22"/>
      <c r="Q371" s="22"/>
      <c r="S371" s="1"/>
      <c r="T371" s="22"/>
      <c r="V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4:47" ht="15.75" customHeight="1" x14ac:dyDescent="0.2">
      <c r="D372" s="22"/>
      <c r="L372" s="22"/>
      <c r="N372" s="1"/>
      <c r="O372" s="22"/>
      <c r="P372" s="22"/>
      <c r="Q372" s="22"/>
      <c r="S372" s="1"/>
      <c r="T372" s="22"/>
      <c r="V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4:47" ht="15.75" customHeight="1" x14ac:dyDescent="0.2">
      <c r="D373" s="22"/>
      <c r="L373" s="22"/>
      <c r="N373" s="1"/>
      <c r="O373" s="22"/>
      <c r="P373" s="22"/>
      <c r="Q373" s="22"/>
      <c r="S373" s="1"/>
      <c r="T373" s="22"/>
      <c r="V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4:47" ht="15.75" customHeight="1" x14ac:dyDescent="0.2">
      <c r="D374" s="22"/>
      <c r="L374" s="22"/>
      <c r="N374" s="1"/>
      <c r="O374" s="22"/>
      <c r="P374" s="22"/>
      <c r="Q374" s="22"/>
      <c r="S374" s="1"/>
      <c r="T374" s="22"/>
      <c r="V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4:47" ht="15.75" customHeight="1" x14ac:dyDescent="0.2">
      <c r="D375" s="22"/>
      <c r="L375" s="22"/>
      <c r="N375" s="1"/>
      <c r="O375" s="22"/>
      <c r="P375" s="22"/>
      <c r="Q375" s="22"/>
      <c r="S375" s="1"/>
      <c r="T375" s="22"/>
      <c r="V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4:47" ht="15.75" customHeight="1" x14ac:dyDescent="0.2">
      <c r="D376" s="22"/>
      <c r="L376" s="22"/>
      <c r="N376" s="1"/>
      <c r="O376" s="22"/>
      <c r="P376" s="22"/>
      <c r="Q376" s="22"/>
      <c r="S376" s="1"/>
      <c r="T376" s="22"/>
      <c r="V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4:47" ht="15.75" customHeight="1" x14ac:dyDescent="0.2">
      <c r="D377" s="22"/>
      <c r="L377" s="22"/>
      <c r="N377" s="1"/>
      <c r="O377" s="22"/>
      <c r="P377" s="22"/>
      <c r="Q377" s="22"/>
      <c r="S377" s="1"/>
      <c r="T377" s="22"/>
      <c r="V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4:47" ht="15.75" customHeight="1" x14ac:dyDescent="0.2">
      <c r="D378" s="22"/>
      <c r="L378" s="22"/>
      <c r="N378" s="1"/>
      <c r="O378" s="22"/>
      <c r="P378" s="22"/>
      <c r="Q378" s="22"/>
      <c r="S378" s="1"/>
      <c r="T378" s="22"/>
      <c r="V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4:47" ht="15.75" customHeight="1" x14ac:dyDescent="0.2">
      <c r="D379" s="22"/>
      <c r="L379" s="22"/>
      <c r="N379" s="1"/>
      <c r="O379" s="22"/>
      <c r="P379" s="22"/>
      <c r="Q379" s="22"/>
      <c r="S379" s="1"/>
      <c r="T379" s="22"/>
      <c r="V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4:47" ht="15.75" customHeight="1" x14ac:dyDescent="0.2">
      <c r="D380" s="22"/>
      <c r="L380" s="22"/>
      <c r="N380" s="1"/>
      <c r="O380" s="22"/>
      <c r="P380" s="22"/>
      <c r="Q380" s="22"/>
      <c r="S380" s="1"/>
      <c r="T380" s="22"/>
      <c r="V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4:47" ht="15.75" customHeight="1" x14ac:dyDescent="0.2">
      <c r="D381" s="22"/>
      <c r="L381" s="22"/>
      <c r="N381" s="1"/>
      <c r="O381" s="22"/>
      <c r="P381" s="22"/>
      <c r="Q381" s="22"/>
      <c r="S381" s="1"/>
      <c r="T381" s="22"/>
      <c r="V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4:47" ht="15.75" customHeight="1" x14ac:dyDescent="0.2">
      <c r="D382" s="22"/>
      <c r="L382" s="22"/>
      <c r="N382" s="1"/>
      <c r="O382" s="22"/>
      <c r="P382" s="22"/>
      <c r="Q382" s="22"/>
      <c r="S382" s="1"/>
      <c r="T382" s="22"/>
      <c r="V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4:47" ht="15.75" customHeight="1" x14ac:dyDescent="0.2">
      <c r="D383" s="22"/>
      <c r="L383" s="22"/>
      <c r="N383" s="1"/>
      <c r="O383" s="22"/>
      <c r="P383" s="22"/>
      <c r="Q383" s="22"/>
      <c r="S383" s="1"/>
      <c r="T383" s="22"/>
      <c r="V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4:47" ht="15.75" customHeight="1" x14ac:dyDescent="0.2">
      <c r="D384" s="22"/>
      <c r="L384" s="22"/>
      <c r="N384" s="1"/>
      <c r="O384" s="22"/>
      <c r="P384" s="22"/>
      <c r="Q384" s="22"/>
      <c r="S384" s="1"/>
      <c r="T384" s="22"/>
      <c r="V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4:47" ht="15.75" customHeight="1" x14ac:dyDescent="0.2">
      <c r="D385" s="22"/>
      <c r="L385" s="22"/>
      <c r="N385" s="1"/>
      <c r="O385" s="22"/>
      <c r="P385" s="22"/>
      <c r="Q385" s="22"/>
      <c r="S385" s="1"/>
      <c r="T385" s="22"/>
      <c r="V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4:47" ht="15.75" customHeight="1" x14ac:dyDescent="0.2">
      <c r="D386" s="22"/>
      <c r="L386" s="22"/>
      <c r="N386" s="1"/>
      <c r="O386" s="22"/>
      <c r="P386" s="22"/>
      <c r="Q386" s="22"/>
      <c r="S386" s="1"/>
      <c r="T386" s="22"/>
      <c r="V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4:47" ht="15.75" customHeight="1" x14ac:dyDescent="0.2">
      <c r="D387" s="22"/>
      <c r="L387" s="22"/>
      <c r="N387" s="1"/>
      <c r="O387" s="22"/>
      <c r="P387" s="22"/>
      <c r="Q387" s="22"/>
      <c r="S387" s="1"/>
      <c r="T387" s="22"/>
      <c r="V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4:47" ht="15.75" customHeight="1" x14ac:dyDescent="0.2">
      <c r="D388" s="22"/>
      <c r="L388" s="22"/>
      <c r="N388" s="1"/>
      <c r="O388" s="22"/>
      <c r="P388" s="22"/>
      <c r="Q388" s="22"/>
      <c r="S388" s="1"/>
      <c r="T388" s="22"/>
      <c r="V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4:47" ht="15.75" customHeight="1" x14ac:dyDescent="0.2">
      <c r="D389" s="22"/>
      <c r="L389" s="22"/>
      <c r="N389" s="1"/>
      <c r="O389" s="22"/>
      <c r="P389" s="22"/>
      <c r="Q389" s="22"/>
      <c r="S389" s="1"/>
      <c r="T389" s="22"/>
      <c r="V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4:47" ht="15.75" customHeight="1" x14ac:dyDescent="0.2">
      <c r="D390" s="22"/>
      <c r="L390" s="22"/>
      <c r="N390" s="1"/>
      <c r="O390" s="22"/>
      <c r="P390" s="22"/>
      <c r="Q390" s="22"/>
      <c r="S390" s="1"/>
      <c r="T390" s="22"/>
      <c r="V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4:47" ht="15.75" customHeight="1" x14ac:dyDescent="0.2">
      <c r="D391" s="22"/>
      <c r="L391" s="22"/>
      <c r="N391" s="1"/>
      <c r="O391" s="22"/>
      <c r="P391" s="22"/>
      <c r="Q391" s="22"/>
      <c r="S391" s="1"/>
      <c r="T391" s="22"/>
      <c r="V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4:47" ht="15.75" customHeight="1" x14ac:dyDescent="0.2">
      <c r="D392" s="22"/>
      <c r="L392" s="22"/>
      <c r="N392" s="1"/>
      <c r="O392" s="22"/>
      <c r="P392" s="22"/>
      <c r="Q392" s="22"/>
      <c r="S392" s="1"/>
      <c r="T392" s="22"/>
      <c r="V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4:47" ht="15.75" customHeight="1" x14ac:dyDescent="0.2">
      <c r="D393" s="22"/>
      <c r="L393" s="22"/>
      <c r="N393" s="1"/>
      <c r="O393" s="22"/>
      <c r="P393" s="22"/>
      <c r="Q393" s="22"/>
      <c r="S393" s="1"/>
      <c r="T393" s="22"/>
      <c r="V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4:47" ht="15.75" customHeight="1" x14ac:dyDescent="0.2">
      <c r="D394" s="22"/>
      <c r="L394" s="22"/>
      <c r="N394" s="1"/>
      <c r="O394" s="22"/>
      <c r="P394" s="22"/>
      <c r="Q394" s="22"/>
      <c r="S394" s="1"/>
      <c r="T394" s="22"/>
      <c r="V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4:47" ht="15.75" customHeight="1" x14ac:dyDescent="0.2">
      <c r="D395" s="22"/>
      <c r="L395" s="22"/>
      <c r="N395" s="1"/>
      <c r="O395" s="22"/>
      <c r="P395" s="22"/>
      <c r="Q395" s="22"/>
      <c r="S395" s="1"/>
      <c r="T395" s="22"/>
      <c r="V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4:47" ht="15.75" customHeight="1" x14ac:dyDescent="0.2">
      <c r="D396" s="22"/>
      <c r="L396" s="22"/>
      <c r="N396" s="1"/>
      <c r="O396" s="22"/>
      <c r="P396" s="22"/>
      <c r="Q396" s="22"/>
      <c r="S396" s="1"/>
      <c r="T396" s="22"/>
      <c r="V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4:47" ht="15.75" customHeight="1" x14ac:dyDescent="0.2">
      <c r="D397" s="22"/>
      <c r="L397" s="22"/>
      <c r="N397" s="1"/>
      <c r="O397" s="22"/>
      <c r="P397" s="22"/>
      <c r="Q397" s="22"/>
      <c r="S397" s="1"/>
      <c r="T397" s="22"/>
      <c r="V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4:47" ht="15.75" customHeight="1" x14ac:dyDescent="0.2">
      <c r="D398" s="22"/>
      <c r="L398" s="22"/>
      <c r="N398" s="1"/>
      <c r="O398" s="22"/>
      <c r="P398" s="22"/>
      <c r="Q398" s="22"/>
      <c r="S398" s="1"/>
      <c r="T398" s="22"/>
      <c r="V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4:47" ht="15.75" customHeight="1" x14ac:dyDescent="0.2">
      <c r="D399" s="22"/>
      <c r="L399" s="22"/>
      <c r="N399" s="1"/>
      <c r="O399" s="22"/>
      <c r="P399" s="22"/>
      <c r="Q399" s="22"/>
      <c r="S399" s="1"/>
      <c r="T399" s="22"/>
      <c r="V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4:47" ht="15.75" customHeight="1" x14ac:dyDescent="0.2">
      <c r="D400" s="22"/>
      <c r="L400" s="22"/>
      <c r="N400" s="1"/>
      <c r="O400" s="22"/>
      <c r="P400" s="22"/>
      <c r="Q400" s="22"/>
      <c r="S400" s="1"/>
      <c r="T400" s="22"/>
      <c r="V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4:47" ht="15.75" customHeight="1" x14ac:dyDescent="0.2">
      <c r="D401" s="22"/>
      <c r="L401" s="22"/>
      <c r="N401" s="1"/>
      <c r="O401" s="22"/>
      <c r="P401" s="22"/>
      <c r="Q401" s="22"/>
      <c r="S401" s="1"/>
      <c r="T401" s="22"/>
      <c r="V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4:47" ht="15.75" customHeight="1" x14ac:dyDescent="0.2">
      <c r="D402" s="22"/>
      <c r="L402" s="22"/>
      <c r="N402" s="1"/>
      <c r="O402" s="22"/>
      <c r="P402" s="22"/>
      <c r="Q402" s="22"/>
      <c r="S402" s="1"/>
      <c r="T402" s="22"/>
      <c r="V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4:47" ht="15.75" customHeight="1" x14ac:dyDescent="0.2">
      <c r="D403" s="22"/>
      <c r="L403" s="22"/>
      <c r="N403" s="1"/>
      <c r="O403" s="22"/>
      <c r="P403" s="22"/>
      <c r="Q403" s="22"/>
      <c r="S403" s="1"/>
      <c r="T403" s="22"/>
      <c r="V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4:47" ht="15.75" customHeight="1" x14ac:dyDescent="0.2">
      <c r="D404" s="22"/>
      <c r="L404" s="22"/>
      <c r="N404" s="1"/>
      <c r="O404" s="22"/>
      <c r="P404" s="22"/>
      <c r="Q404" s="22"/>
      <c r="S404" s="1"/>
      <c r="T404" s="22"/>
      <c r="V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4:47" ht="15.75" customHeight="1" x14ac:dyDescent="0.2">
      <c r="D405" s="22"/>
      <c r="L405" s="22"/>
      <c r="N405" s="1"/>
      <c r="O405" s="22"/>
      <c r="P405" s="22"/>
      <c r="Q405" s="22"/>
      <c r="S405" s="1"/>
      <c r="T405" s="22"/>
      <c r="V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4:47" ht="15.75" customHeight="1" x14ac:dyDescent="0.2">
      <c r="D406" s="22"/>
      <c r="L406" s="22"/>
      <c r="N406" s="1"/>
      <c r="O406" s="22"/>
      <c r="P406" s="22"/>
      <c r="Q406" s="22"/>
      <c r="S406" s="1"/>
      <c r="T406" s="22"/>
      <c r="V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4:47" ht="15.75" customHeight="1" x14ac:dyDescent="0.2">
      <c r="D407" s="22"/>
      <c r="L407" s="22"/>
      <c r="N407" s="1"/>
      <c r="O407" s="22"/>
      <c r="P407" s="22"/>
      <c r="Q407" s="22"/>
      <c r="S407" s="1"/>
      <c r="T407" s="22"/>
      <c r="V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4:47" ht="15.75" customHeight="1" x14ac:dyDescent="0.2">
      <c r="D408" s="22"/>
      <c r="L408" s="22"/>
      <c r="N408" s="1"/>
      <c r="O408" s="22"/>
      <c r="P408" s="22"/>
      <c r="Q408" s="22"/>
      <c r="S408" s="1"/>
      <c r="T408" s="22"/>
      <c r="V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4:47" ht="15.75" customHeight="1" x14ac:dyDescent="0.2">
      <c r="D409" s="22"/>
      <c r="L409" s="22"/>
      <c r="N409" s="1"/>
      <c r="O409" s="22"/>
      <c r="P409" s="22"/>
      <c r="Q409" s="22"/>
      <c r="S409" s="1"/>
      <c r="T409" s="22"/>
      <c r="V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4:47" ht="15.75" customHeight="1" x14ac:dyDescent="0.2">
      <c r="D410" s="22"/>
      <c r="L410" s="22"/>
      <c r="N410" s="1"/>
      <c r="O410" s="22"/>
      <c r="P410" s="22"/>
      <c r="Q410" s="22"/>
      <c r="S410" s="1"/>
      <c r="T410" s="22"/>
      <c r="V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4:47" ht="15.75" customHeight="1" x14ac:dyDescent="0.2">
      <c r="D411" s="22"/>
      <c r="L411" s="22"/>
      <c r="N411" s="1"/>
      <c r="O411" s="22"/>
      <c r="P411" s="22"/>
      <c r="Q411" s="22"/>
      <c r="S411" s="1"/>
      <c r="T411" s="22"/>
      <c r="V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4:47" ht="15.75" customHeight="1" x14ac:dyDescent="0.2">
      <c r="D412" s="22"/>
      <c r="L412" s="22"/>
      <c r="N412" s="1"/>
      <c r="O412" s="22"/>
      <c r="P412" s="22"/>
      <c r="Q412" s="22"/>
      <c r="S412" s="1"/>
      <c r="T412" s="22"/>
      <c r="V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4:47" ht="15.75" customHeight="1" x14ac:dyDescent="0.2">
      <c r="D413" s="22"/>
      <c r="L413" s="22"/>
      <c r="N413" s="1"/>
      <c r="O413" s="22"/>
      <c r="P413" s="22"/>
      <c r="Q413" s="22"/>
      <c r="S413" s="1"/>
      <c r="T413" s="22"/>
      <c r="V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4:47" ht="15.75" customHeight="1" x14ac:dyDescent="0.2">
      <c r="D414" s="22"/>
      <c r="L414" s="22"/>
      <c r="N414" s="1"/>
      <c r="O414" s="22"/>
      <c r="P414" s="22"/>
      <c r="Q414" s="22"/>
      <c r="S414" s="1"/>
      <c r="T414" s="22"/>
      <c r="V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4:47" ht="15.75" customHeight="1" x14ac:dyDescent="0.2">
      <c r="D415" s="22"/>
      <c r="L415" s="22"/>
      <c r="N415" s="1"/>
      <c r="O415" s="22"/>
      <c r="P415" s="22"/>
      <c r="Q415" s="22"/>
      <c r="S415" s="1"/>
      <c r="T415" s="22"/>
      <c r="V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4:47" ht="15.75" customHeight="1" x14ac:dyDescent="0.2">
      <c r="D416" s="22"/>
      <c r="L416" s="22"/>
      <c r="N416" s="1"/>
      <c r="O416" s="22"/>
      <c r="P416" s="22"/>
      <c r="Q416" s="22"/>
      <c r="S416" s="1"/>
      <c r="T416" s="22"/>
      <c r="V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4:47" ht="15.75" customHeight="1" x14ac:dyDescent="0.2">
      <c r="D417" s="22"/>
      <c r="L417" s="22"/>
      <c r="N417" s="1"/>
      <c r="O417" s="22"/>
      <c r="P417" s="22"/>
      <c r="Q417" s="22"/>
      <c r="S417" s="1"/>
      <c r="T417" s="22"/>
      <c r="V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4:47" ht="15.75" customHeight="1" x14ac:dyDescent="0.2">
      <c r="D418" s="22"/>
      <c r="L418" s="22"/>
      <c r="N418" s="1"/>
      <c r="O418" s="22"/>
      <c r="P418" s="22"/>
      <c r="Q418" s="22"/>
      <c r="S418" s="1"/>
      <c r="T418" s="22"/>
      <c r="V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4:47" ht="15.75" customHeight="1" x14ac:dyDescent="0.2">
      <c r="D419" s="22"/>
      <c r="L419" s="22"/>
      <c r="N419" s="1"/>
      <c r="O419" s="22"/>
      <c r="P419" s="22"/>
      <c r="Q419" s="22"/>
      <c r="S419" s="1"/>
      <c r="T419" s="22"/>
      <c r="V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4:47" ht="15.75" customHeight="1" x14ac:dyDescent="0.2">
      <c r="D420" s="22"/>
      <c r="L420" s="22"/>
      <c r="N420" s="1"/>
      <c r="O420" s="22"/>
      <c r="P420" s="22"/>
      <c r="Q420" s="22"/>
      <c r="S420" s="1"/>
      <c r="T420" s="22"/>
      <c r="V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4:47" ht="15.75" customHeight="1" x14ac:dyDescent="0.2">
      <c r="D421" s="22"/>
      <c r="L421" s="22"/>
      <c r="N421" s="1"/>
      <c r="O421" s="22"/>
      <c r="P421" s="22"/>
      <c r="Q421" s="22"/>
      <c r="S421" s="1"/>
      <c r="T421" s="22"/>
      <c r="V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4:47" ht="15.75" customHeight="1" x14ac:dyDescent="0.2">
      <c r="D422" s="22"/>
      <c r="L422" s="22"/>
      <c r="N422" s="1"/>
      <c r="O422" s="22"/>
      <c r="P422" s="22"/>
      <c r="Q422" s="22"/>
      <c r="S422" s="1"/>
      <c r="T422" s="22"/>
      <c r="V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4:47" ht="15.75" customHeight="1" x14ac:dyDescent="0.2">
      <c r="D423" s="22"/>
      <c r="L423" s="22"/>
      <c r="N423" s="1"/>
      <c r="O423" s="22"/>
      <c r="P423" s="22"/>
      <c r="Q423" s="22"/>
      <c r="S423" s="1"/>
      <c r="T423" s="22"/>
      <c r="V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4:47" ht="15.75" customHeight="1" x14ac:dyDescent="0.2">
      <c r="D424" s="22"/>
      <c r="L424" s="22"/>
      <c r="N424" s="1"/>
      <c r="O424" s="22"/>
      <c r="P424" s="22"/>
      <c r="Q424" s="22"/>
      <c r="S424" s="1"/>
      <c r="T424" s="22"/>
      <c r="V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4:47" ht="15.75" customHeight="1" x14ac:dyDescent="0.2">
      <c r="D425" s="22"/>
      <c r="L425" s="22"/>
      <c r="N425" s="1"/>
      <c r="O425" s="22"/>
      <c r="P425" s="22"/>
      <c r="Q425" s="22"/>
      <c r="S425" s="1"/>
      <c r="T425" s="22"/>
      <c r="V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4:47" ht="15.75" customHeight="1" x14ac:dyDescent="0.2">
      <c r="D426" s="22"/>
      <c r="L426" s="22"/>
      <c r="N426" s="1"/>
      <c r="O426" s="22"/>
      <c r="P426" s="22"/>
      <c r="Q426" s="22"/>
      <c r="S426" s="1"/>
      <c r="T426" s="22"/>
      <c r="V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4:47" ht="15.75" customHeight="1" x14ac:dyDescent="0.2">
      <c r="D427" s="22"/>
      <c r="L427" s="22"/>
      <c r="N427" s="1"/>
      <c r="O427" s="22"/>
      <c r="P427" s="22"/>
      <c r="Q427" s="22"/>
      <c r="S427" s="1"/>
      <c r="T427" s="22"/>
      <c r="V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4:47" ht="15.75" customHeight="1" x14ac:dyDescent="0.2">
      <c r="D428" s="22"/>
      <c r="L428" s="22"/>
      <c r="N428" s="1"/>
      <c r="O428" s="22"/>
      <c r="P428" s="22"/>
      <c r="Q428" s="22"/>
      <c r="S428" s="1"/>
      <c r="T428" s="22"/>
      <c r="V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4:47" ht="15.75" customHeight="1" x14ac:dyDescent="0.2">
      <c r="D429" s="22"/>
      <c r="L429" s="22"/>
      <c r="N429" s="1"/>
      <c r="O429" s="22"/>
      <c r="P429" s="22"/>
      <c r="Q429" s="22"/>
      <c r="S429" s="1"/>
      <c r="T429" s="22"/>
      <c r="V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4:47" ht="15.75" customHeight="1" x14ac:dyDescent="0.2">
      <c r="D430" s="22"/>
      <c r="L430" s="22"/>
      <c r="N430" s="1"/>
      <c r="O430" s="22"/>
      <c r="P430" s="22"/>
      <c r="Q430" s="22"/>
      <c r="S430" s="1"/>
      <c r="T430" s="22"/>
      <c r="V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4:47" ht="15.75" customHeight="1" x14ac:dyDescent="0.2">
      <c r="D431" s="22"/>
      <c r="L431" s="22"/>
      <c r="N431" s="1"/>
      <c r="O431" s="22"/>
      <c r="P431" s="22"/>
      <c r="Q431" s="22"/>
      <c r="S431" s="1"/>
      <c r="T431" s="22"/>
      <c r="V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4:47" ht="15.75" customHeight="1" x14ac:dyDescent="0.2">
      <c r="D432" s="22"/>
      <c r="L432" s="22"/>
      <c r="N432" s="1"/>
      <c r="O432" s="22"/>
      <c r="P432" s="22"/>
      <c r="Q432" s="22"/>
      <c r="S432" s="1"/>
      <c r="T432" s="22"/>
      <c r="V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4:47" ht="15.75" customHeight="1" x14ac:dyDescent="0.2">
      <c r="D433" s="22"/>
      <c r="L433" s="22"/>
      <c r="N433" s="1"/>
      <c r="O433" s="22"/>
      <c r="P433" s="22"/>
      <c r="Q433" s="22"/>
      <c r="S433" s="1"/>
      <c r="T433" s="22"/>
      <c r="V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4:47" ht="15.75" customHeight="1" x14ac:dyDescent="0.2">
      <c r="D434" s="22"/>
      <c r="L434" s="22"/>
      <c r="N434" s="1"/>
      <c r="O434" s="22"/>
      <c r="P434" s="22"/>
      <c r="Q434" s="22"/>
      <c r="S434" s="1"/>
      <c r="T434" s="22"/>
      <c r="V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4:47" ht="15.75" customHeight="1" x14ac:dyDescent="0.2">
      <c r="D435" s="22"/>
      <c r="L435" s="22"/>
      <c r="N435" s="1"/>
      <c r="O435" s="22"/>
      <c r="P435" s="22"/>
      <c r="Q435" s="22"/>
      <c r="S435" s="1"/>
      <c r="T435" s="22"/>
      <c r="V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4:47" ht="15.75" customHeight="1" x14ac:dyDescent="0.2">
      <c r="D436" s="22"/>
      <c r="L436" s="22"/>
      <c r="N436" s="1"/>
      <c r="O436" s="22"/>
      <c r="P436" s="22"/>
      <c r="Q436" s="22"/>
      <c r="S436" s="1"/>
      <c r="T436" s="22"/>
      <c r="V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4:47" ht="15.75" customHeight="1" x14ac:dyDescent="0.2">
      <c r="D437" s="22"/>
      <c r="L437" s="22"/>
      <c r="N437" s="1"/>
      <c r="O437" s="22"/>
      <c r="P437" s="22"/>
      <c r="Q437" s="22"/>
      <c r="S437" s="1"/>
      <c r="T437" s="22"/>
      <c r="V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4:47" ht="15.75" customHeight="1" x14ac:dyDescent="0.2">
      <c r="D438" s="22"/>
      <c r="L438" s="22"/>
      <c r="N438" s="1"/>
      <c r="O438" s="22"/>
      <c r="P438" s="22"/>
      <c r="Q438" s="22"/>
      <c r="S438" s="1"/>
      <c r="T438" s="22"/>
      <c r="V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4:47" ht="15.75" customHeight="1" x14ac:dyDescent="0.2">
      <c r="D439" s="22"/>
      <c r="L439" s="22"/>
      <c r="N439" s="1"/>
      <c r="O439" s="22"/>
      <c r="P439" s="22"/>
      <c r="Q439" s="22"/>
      <c r="S439" s="1"/>
      <c r="T439" s="22"/>
      <c r="V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4:47" ht="15.75" customHeight="1" x14ac:dyDescent="0.2">
      <c r="D440" s="22"/>
      <c r="L440" s="22"/>
      <c r="N440" s="1"/>
      <c r="O440" s="22"/>
      <c r="P440" s="22"/>
      <c r="Q440" s="22"/>
      <c r="S440" s="1"/>
      <c r="T440" s="22"/>
      <c r="V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4:47" ht="15.75" customHeight="1" x14ac:dyDescent="0.2">
      <c r="D441" s="22"/>
      <c r="L441" s="22"/>
      <c r="N441" s="1"/>
      <c r="O441" s="22"/>
      <c r="P441" s="22"/>
      <c r="Q441" s="22"/>
      <c r="S441" s="1"/>
      <c r="T441" s="22"/>
      <c r="V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4:47" ht="15.75" customHeight="1" x14ac:dyDescent="0.2">
      <c r="D442" s="22"/>
      <c r="L442" s="22"/>
      <c r="N442" s="1"/>
      <c r="O442" s="22"/>
      <c r="P442" s="22"/>
      <c r="Q442" s="22"/>
      <c r="S442" s="1"/>
      <c r="T442" s="22"/>
      <c r="V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4:47" ht="15.75" customHeight="1" x14ac:dyDescent="0.2">
      <c r="D443" s="22"/>
      <c r="L443" s="22"/>
      <c r="N443" s="1"/>
      <c r="O443" s="22"/>
      <c r="P443" s="22"/>
      <c r="Q443" s="22"/>
      <c r="S443" s="1"/>
      <c r="T443" s="22"/>
      <c r="V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4:47" ht="15.75" customHeight="1" x14ac:dyDescent="0.2">
      <c r="D444" s="22"/>
      <c r="L444" s="22"/>
      <c r="N444" s="1"/>
      <c r="O444" s="22"/>
      <c r="P444" s="22"/>
      <c r="Q444" s="22"/>
      <c r="S444" s="1"/>
      <c r="T444" s="22"/>
      <c r="V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4:47" ht="15.75" customHeight="1" x14ac:dyDescent="0.2">
      <c r="D445" s="22"/>
      <c r="L445" s="22"/>
      <c r="N445" s="1"/>
      <c r="O445" s="22"/>
      <c r="P445" s="22"/>
      <c r="Q445" s="22"/>
      <c r="S445" s="1"/>
      <c r="T445" s="22"/>
      <c r="V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4:47" ht="15.75" customHeight="1" x14ac:dyDescent="0.2">
      <c r="D446" s="22"/>
      <c r="L446" s="22"/>
      <c r="N446" s="1"/>
      <c r="O446" s="22"/>
      <c r="P446" s="22"/>
      <c r="Q446" s="22"/>
      <c r="S446" s="1"/>
      <c r="T446" s="22"/>
      <c r="V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4:47" ht="15.75" customHeight="1" x14ac:dyDescent="0.2">
      <c r="D447" s="22"/>
      <c r="L447" s="22"/>
      <c r="N447" s="1"/>
      <c r="O447" s="22"/>
      <c r="P447" s="22"/>
      <c r="Q447" s="22"/>
      <c r="S447" s="1"/>
      <c r="T447" s="22"/>
      <c r="V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4:47" ht="15.75" customHeight="1" x14ac:dyDescent="0.2">
      <c r="D448" s="22"/>
      <c r="L448" s="22"/>
      <c r="N448" s="1"/>
      <c r="O448" s="22"/>
      <c r="P448" s="22"/>
      <c r="Q448" s="22"/>
      <c r="S448" s="1"/>
      <c r="T448" s="22"/>
      <c r="V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4:47" ht="15.75" customHeight="1" x14ac:dyDescent="0.2">
      <c r="D449" s="22"/>
      <c r="L449" s="22"/>
      <c r="N449" s="1"/>
      <c r="O449" s="22"/>
      <c r="P449" s="22"/>
      <c r="Q449" s="22"/>
      <c r="S449" s="1"/>
      <c r="T449" s="22"/>
      <c r="V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4:47" ht="15.75" customHeight="1" x14ac:dyDescent="0.2">
      <c r="D450" s="22"/>
      <c r="L450" s="22"/>
      <c r="N450" s="1"/>
      <c r="O450" s="22"/>
      <c r="P450" s="22"/>
      <c r="Q450" s="22"/>
      <c r="S450" s="1"/>
      <c r="T450" s="22"/>
      <c r="V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4:47" ht="15.75" customHeight="1" x14ac:dyDescent="0.2">
      <c r="D451" s="22"/>
      <c r="L451" s="22"/>
      <c r="N451" s="1"/>
      <c r="O451" s="22"/>
      <c r="P451" s="22"/>
      <c r="Q451" s="22"/>
      <c r="S451" s="1"/>
      <c r="T451" s="22"/>
      <c r="V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4:47" ht="15.75" customHeight="1" x14ac:dyDescent="0.2">
      <c r="D452" s="22"/>
      <c r="L452" s="22"/>
      <c r="N452" s="1"/>
      <c r="O452" s="22"/>
      <c r="P452" s="22"/>
      <c r="Q452" s="22"/>
      <c r="S452" s="1"/>
      <c r="T452" s="22"/>
      <c r="V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4:47" ht="15.75" customHeight="1" x14ac:dyDescent="0.2">
      <c r="D453" s="22"/>
      <c r="L453" s="22"/>
      <c r="N453" s="1"/>
      <c r="O453" s="22"/>
      <c r="P453" s="22"/>
      <c r="Q453" s="22"/>
      <c r="S453" s="1"/>
      <c r="T453" s="22"/>
      <c r="V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4:47" ht="15.75" customHeight="1" x14ac:dyDescent="0.2">
      <c r="D454" s="22"/>
      <c r="L454" s="22"/>
      <c r="N454" s="1"/>
      <c r="O454" s="22"/>
      <c r="P454" s="22"/>
      <c r="Q454" s="22"/>
      <c r="S454" s="1"/>
      <c r="T454" s="22"/>
      <c r="V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4:47" ht="15.75" customHeight="1" x14ac:dyDescent="0.2">
      <c r="D455" s="22"/>
      <c r="L455" s="22"/>
      <c r="N455" s="1"/>
      <c r="O455" s="22"/>
      <c r="P455" s="22"/>
      <c r="Q455" s="22"/>
      <c r="S455" s="1"/>
      <c r="T455" s="22"/>
      <c r="V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4:47" ht="15.75" customHeight="1" x14ac:dyDescent="0.2">
      <c r="D456" s="22"/>
      <c r="L456" s="22"/>
      <c r="N456" s="1"/>
      <c r="O456" s="22"/>
      <c r="P456" s="22"/>
      <c r="Q456" s="22"/>
      <c r="S456" s="1"/>
      <c r="T456" s="22"/>
      <c r="V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4:47" ht="15.75" customHeight="1" x14ac:dyDescent="0.2">
      <c r="D457" s="22"/>
      <c r="L457" s="22"/>
      <c r="N457" s="1"/>
      <c r="O457" s="22"/>
      <c r="P457" s="22"/>
      <c r="Q457" s="22"/>
      <c r="S457" s="1"/>
      <c r="T457" s="22"/>
      <c r="V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4:47" ht="15.75" customHeight="1" x14ac:dyDescent="0.2">
      <c r="D458" s="22"/>
      <c r="L458" s="22"/>
      <c r="N458" s="1"/>
      <c r="O458" s="22"/>
      <c r="P458" s="22"/>
      <c r="Q458" s="22"/>
      <c r="S458" s="1"/>
      <c r="T458" s="22"/>
      <c r="V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4:47" ht="15.75" customHeight="1" x14ac:dyDescent="0.2">
      <c r="D459" s="22"/>
      <c r="L459" s="22"/>
      <c r="N459" s="1"/>
      <c r="O459" s="22"/>
      <c r="P459" s="22"/>
      <c r="Q459" s="22"/>
      <c r="S459" s="1"/>
      <c r="T459" s="22"/>
      <c r="V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4:47" ht="15.75" customHeight="1" x14ac:dyDescent="0.2">
      <c r="D460" s="22"/>
      <c r="L460" s="22"/>
      <c r="N460" s="1"/>
      <c r="O460" s="22"/>
      <c r="P460" s="22"/>
      <c r="Q460" s="22"/>
      <c r="S460" s="1"/>
      <c r="T460" s="22"/>
      <c r="V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4:47" ht="15.75" customHeight="1" x14ac:dyDescent="0.2">
      <c r="D461" s="22"/>
      <c r="L461" s="22"/>
      <c r="N461" s="1"/>
      <c r="O461" s="22"/>
      <c r="P461" s="22"/>
      <c r="Q461" s="22"/>
      <c r="S461" s="1"/>
      <c r="T461" s="22"/>
      <c r="V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4:47" ht="15.75" customHeight="1" x14ac:dyDescent="0.2">
      <c r="D462" s="22"/>
      <c r="L462" s="22"/>
      <c r="N462" s="1"/>
      <c r="O462" s="22"/>
      <c r="P462" s="22"/>
      <c r="Q462" s="22"/>
      <c r="S462" s="1"/>
      <c r="T462" s="22"/>
      <c r="V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4:47" ht="15.75" customHeight="1" x14ac:dyDescent="0.2">
      <c r="D463" s="22"/>
      <c r="L463" s="22"/>
      <c r="N463" s="1"/>
      <c r="O463" s="22"/>
      <c r="P463" s="22"/>
      <c r="Q463" s="22"/>
      <c r="S463" s="1"/>
      <c r="T463" s="22"/>
      <c r="V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4:47" ht="15.75" customHeight="1" x14ac:dyDescent="0.2">
      <c r="D464" s="22"/>
      <c r="L464" s="22"/>
      <c r="N464" s="1"/>
      <c r="O464" s="22"/>
      <c r="P464" s="22"/>
      <c r="Q464" s="22"/>
      <c r="S464" s="1"/>
      <c r="T464" s="22"/>
      <c r="V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4:47" ht="15.75" customHeight="1" x14ac:dyDescent="0.2">
      <c r="D465" s="22"/>
      <c r="L465" s="22"/>
      <c r="N465" s="1"/>
      <c r="O465" s="22"/>
      <c r="P465" s="22"/>
      <c r="Q465" s="22"/>
      <c r="S465" s="1"/>
      <c r="T465" s="22"/>
      <c r="V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4:47" ht="15.75" customHeight="1" x14ac:dyDescent="0.2">
      <c r="D466" s="22"/>
      <c r="L466" s="22"/>
      <c r="N466" s="1"/>
      <c r="O466" s="22"/>
      <c r="P466" s="22"/>
      <c r="Q466" s="22"/>
      <c r="S466" s="1"/>
      <c r="T466" s="22"/>
      <c r="V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4:47" ht="15.75" customHeight="1" x14ac:dyDescent="0.2">
      <c r="D467" s="22"/>
      <c r="L467" s="22"/>
      <c r="N467" s="1"/>
      <c r="O467" s="22"/>
      <c r="P467" s="22"/>
      <c r="Q467" s="22"/>
      <c r="S467" s="1"/>
      <c r="T467" s="22"/>
      <c r="V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4:47" ht="15.75" customHeight="1" x14ac:dyDescent="0.2">
      <c r="D468" s="22"/>
      <c r="L468" s="22"/>
      <c r="N468" s="1"/>
      <c r="O468" s="22"/>
      <c r="P468" s="22"/>
      <c r="Q468" s="22"/>
      <c r="S468" s="1"/>
      <c r="T468" s="22"/>
      <c r="V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4:47" ht="15.75" customHeight="1" x14ac:dyDescent="0.2">
      <c r="D469" s="22"/>
      <c r="L469" s="22"/>
      <c r="N469" s="1"/>
      <c r="O469" s="22"/>
      <c r="P469" s="22"/>
      <c r="Q469" s="22"/>
      <c r="S469" s="1"/>
      <c r="T469" s="22"/>
      <c r="V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4:47" ht="15.75" customHeight="1" x14ac:dyDescent="0.2">
      <c r="D470" s="22"/>
      <c r="L470" s="22"/>
      <c r="N470" s="1"/>
      <c r="O470" s="22"/>
      <c r="P470" s="22"/>
      <c r="Q470" s="22"/>
      <c r="S470" s="1"/>
      <c r="T470" s="22"/>
      <c r="V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4:47" ht="15.75" customHeight="1" x14ac:dyDescent="0.2">
      <c r="D471" s="22"/>
      <c r="L471" s="22"/>
      <c r="N471" s="1"/>
      <c r="O471" s="22"/>
      <c r="P471" s="22"/>
      <c r="Q471" s="22"/>
      <c r="S471" s="1"/>
      <c r="T471" s="22"/>
      <c r="V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4:47" ht="15.75" customHeight="1" x14ac:dyDescent="0.2">
      <c r="D472" s="22"/>
      <c r="L472" s="22"/>
      <c r="N472" s="1"/>
      <c r="O472" s="22"/>
      <c r="P472" s="22"/>
      <c r="Q472" s="22"/>
      <c r="S472" s="1"/>
      <c r="T472" s="22"/>
      <c r="V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4:47" ht="15.75" customHeight="1" x14ac:dyDescent="0.2">
      <c r="D473" s="22"/>
      <c r="L473" s="22"/>
      <c r="N473" s="1"/>
      <c r="O473" s="22"/>
      <c r="P473" s="22"/>
      <c r="Q473" s="22"/>
      <c r="S473" s="1"/>
      <c r="T473" s="22"/>
      <c r="V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4:47" ht="15.75" customHeight="1" x14ac:dyDescent="0.2">
      <c r="D474" s="22"/>
      <c r="L474" s="22"/>
      <c r="N474" s="1"/>
      <c r="O474" s="22"/>
      <c r="P474" s="22"/>
      <c r="Q474" s="22"/>
      <c r="S474" s="1"/>
      <c r="T474" s="22"/>
      <c r="V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4:47" ht="15.75" customHeight="1" x14ac:dyDescent="0.2">
      <c r="D475" s="22"/>
      <c r="L475" s="22"/>
      <c r="N475" s="1"/>
      <c r="O475" s="22"/>
      <c r="P475" s="22"/>
      <c r="Q475" s="22"/>
      <c r="S475" s="1"/>
      <c r="T475" s="22"/>
      <c r="V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4:47" ht="15.75" customHeight="1" x14ac:dyDescent="0.2">
      <c r="D476" s="22"/>
      <c r="L476" s="22"/>
      <c r="N476" s="1"/>
      <c r="O476" s="22"/>
      <c r="P476" s="22"/>
      <c r="Q476" s="22"/>
      <c r="S476" s="1"/>
      <c r="T476" s="22"/>
      <c r="V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4:47" ht="15.75" customHeight="1" x14ac:dyDescent="0.2">
      <c r="D477" s="22"/>
      <c r="L477" s="22"/>
      <c r="N477" s="1"/>
      <c r="O477" s="22"/>
      <c r="P477" s="22"/>
      <c r="Q477" s="22"/>
      <c r="S477" s="1"/>
      <c r="T477" s="22"/>
      <c r="V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4:47" ht="15.75" customHeight="1" x14ac:dyDescent="0.2">
      <c r="D478" s="22"/>
      <c r="L478" s="22"/>
      <c r="N478" s="1"/>
      <c r="O478" s="22"/>
      <c r="P478" s="22"/>
      <c r="Q478" s="22"/>
      <c r="S478" s="1"/>
      <c r="T478" s="22"/>
      <c r="V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4:47" ht="15.75" customHeight="1" x14ac:dyDescent="0.2">
      <c r="D479" s="22"/>
      <c r="L479" s="22"/>
      <c r="N479" s="1"/>
      <c r="O479" s="22"/>
      <c r="P479" s="22"/>
      <c r="Q479" s="22"/>
      <c r="S479" s="1"/>
      <c r="T479" s="22"/>
      <c r="V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4:47" ht="15.75" customHeight="1" x14ac:dyDescent="0.2">
      <c r="D480" s="22"/>
      <c r="L480" s="22"/>
      <c r="N480" s="1"/>
      <c r="O480" s="22"/>
      <c r="P480" s="22"/>
      <c r="Q480" s="22"/>
      <c r="S480" s="1"/>
      <c r="T480" s="22"/>
      <c r="V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4:47" ht="15.75" customHeight="1" x14ac:dyDescent="0.2">
      <c r="D481" s="22"/>
      <c r="L481" s="22"/>
      <c r="N481" s="1"/>
      <c r="O481" s="22"/>
      <c r="P481" s="22"/>
      <c r="Q481" s="22"/>
      <c r="S481" s="1"/>
      <c r="T481" s="22"/>
      <c r="V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4:47" ht="15.75" customHeight="1" x14ac:dyDescent="0.2">
      <c r="D482" s="22"/>
      <c r="L482" s="22"/>
      <c r="N482" s="1"/>
      <c r="O482" s="22"/>
      <c r="P482" s="22"/>
      <c r="Q482" s="22"/>
      <c r="S482" s="1"/>
      <c r="T482" s="22"/>
      <c r="V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4:47" ht="15.75" customHeight="1" x14ac:dyDescent="0.2">
      <c r="D483" s="22"/>
      <c r="L483" s="22"/>
      <c r="N483" s="1"/>
      <c r="O483" s="22"/>
      <c r="P483" s="22"/>
      <c r="Q483" s="22"/>
      <c r="S483" s="1"/>
      <c r="T483" s="22"/>
      <c r="V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4:47" ht="15.75" customHeight="1" x14ac:dyDescent="0.2">
      <c r="D484" s="22"/>
      <c r="L484" s="22"/>
      <c r="N484" s="1"/>
      <c r="O484" s="22"/>
      <c r="P484" s="22"/>
      <c r="Q484" s="22"/>
      <c r="S484" s="1"/>
      <c r="T484" s="22"/>
      <c r="V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4:47" ht="15.75" customHeight="1" x14ac:dyDescent="0.2">
      <c r="D485" s="22"/>
      <c r="L485" s="22"/>
      <c r="N485" s="1"/>
      <c r="O485" s="22"/>
      <c r="P485" s="22"/>
      <c r="Q485" s="22"/>
      <c r="S485" s="1"/>
      <c r="T485" s="22"/>
      <c r="V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4:47" ht="15.75" customHeight="1" x14ac:dyDescent="0.2">
      <c r="D486" s="22"/>
      <c r="L486" s="22"/>
      <c r="N486" s="1"/>
      <c r="O486" s="22"/>
      <c r="P486" s="22"/>
      <c r="Q486" s="22"/>
      <c r="S486" s="1"/>
      <c r="T486" s="22"/>
      <c r="V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4:47" ht="15.75" customHeight="1" x14ac:dyDescent="0.2">
      <c r="D487" s="22"/>
      <c r="L487" s="22"/>
      <c r="N487" s="1"/>
      <c r="O487" s="22"/>
      <c r="P487" s="22"/>
      <c r="Q487" s="22"/>
      <c r="S487" s="1"/>
      <c r="T487" s="22"/>
      <c r="V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4:47" ht="15.75" customHeight="1" x14ac:dyDescent="0.2">
      <c r="D488" s="22"/>
      <c r="L488" s="22"/>
      <c r="N488" s="1"/>
      <c r="O488" s="22"/>
      <c r="P488" s="22"/>
      <c r="Q488" s="22"/>
      <c r="S488" s="1"/>
      <c r="T488" s="22"/>
      <c r="V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4:47" ht="15.75" customHeight="1" x14ac:dyDescent="0.2">
      <c r="D489" s="22"/>
      <c r="L489" s="22"/>
      <c r="N489" s="1"/>
      <c r="O489" s="22"/>
      <c r="P489" s="22"/>
      <c r="Q489" s="22"/>
      <c r="S489" s="1"/>
      <c r="T489" s="22"/>
      <c r="V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4:47" ht="15.75" customHeight="1" x14ac:dyDescent="0.2">
      <c r="D490" s="22"/>
      <c r="L490" s="22"/>
      <c r="N490" s="1"/>
      <c r="O490" s="22"/>
      <c r="P490" s="22"/>
      <c r="Q490" s="22"/>
      <c r="S490" s="1"/>
      <c r="T490" s="22"/>
      <c r="V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4:47" ht="15.75" customHeight="1" x14ac:dyDescent="0.2">
      <c r="D491" s="22"/>
      <c r="L491" s="22"/>
      <c r="N491" s="1"/>
      <c r="O491" s="22"/>
      <c r="P491" s="22"/>
      <c r="Q491" s="22"/>
      <c r="S491" s="1"/>
      <c r="T491" s="22"/>
      <c r="V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4:47" ht="15.75" customHeight="1" x14ac:dyDescent="0.2">
      <c r="D492" s="22"/>
      <c r="L492" s="22"/>
      <c r="N492" s="1"/>
      <c r="O492" s="22"/>
      <c r="P492" s="22"/>
      <c r="Q492" s="22"/>
      <c r="S492" s="1"/>
      <c r="T492" s="22"/>
      <c r="V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4:47" ht="15.75" customHeight="1" x14ac:dyDescent="0.2">
      <c r="D493" s="22"/>
      <c r="L493" s="22"/>
      <c r="N493" s="1"/>
      <c r="O493" s="22"/>
      <c r="P493" s="22"/>
      <c r="Q493" s="22"/>
      <c r="S493" s="1"/>
      <c r="T493" s="22"/>
      <c r="V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4:47" ht="15.75" customHeight="1" x14ac:dyDescent="0.2">
      <c r="D494" s="22"/>
      <c r="L494" s="22"/>
      <c r="N494" s="1"/>
      <c r="O494" s="22"/>
      <c r="P494" s="22"/>
      <c r="Q494" s="22"/>
      <c r="S494" s="1"/>
      <c r="T494" s="22"/>
      <c r="V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4:47" ht="15.75" customHeight="1" x14ac:dyDescent="0.2">
      <c r="D495" s="22"/>
      <c r="L495" s="22"/>
      <c r="N495" s="1"/>
      <c r="O495" s="22"/>
      <c r="P495" s="22"/>
      <c r="Q495" s="22"/>
      <c r="S495" s="1"/>
      <c r="T495" s="22"/>
      <c r="V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4:47" ht="15.75" customHeight="1" x14ac:dyDescent="0.2">
      <c r="D496" s="22"/>
      <c r="L496" s="22"/>
      <c r="N496" s="1"/>
      <c r="O496" s="22"/>
      <c r="P496" s="22"/>
      <c r="Q496" s="22"/>
      <c r="S496" s="1"/>
      <c r="T496" s="22"/>
      <c r="V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4:47" ht="15.75" customHeight="1" x14ac:dyDescent="0.2">
      <c r="D497" s="22"/>
      <c r="L497" s="22"/>
      <c r="N497" s="1"/>
      <c r="O497" s="22"/>
      <c r="P497" s="22"/>
      <c r="Q497" s="22"/>
      <c r="S497" s="1"/>
      <c r="T497" s="22"/>
      <c r="V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4:47" ht="15.75" customHeight="1" x14ac:dyDescent="0.2">
      <c r="D498" s="22"/>
      <c r="L498" s="22"/>
      <c r="N498" s="1"/>
      <c r="O498" s="22"/>
      <c r="P498" s="22"/>
      <c r="Q498" s="22"/>
      <c r="S498" s="1"/>
      <c r="T498" s="22"/>
      <c r="V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4:47" ht="15.75" customHeight="1" x14ac:dyDescent="0.2">
      <c r="D499" s="22"/>
      <c r="L499" s="22"/>
      <c r="N499" s="1"/>
      <c r="O499" s="22"/>
      <c r="P499" s="22"/>
      <c r="Q499" s="22"/>
      <c r="S499" s="1"/>
      <c r="T499" s="22"/>
      <c r="V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4:47" ht="15.75" customHeight="1" x14ac:dyDescent="0.2">
      <c r="D500" s="22"/>
      <c r="L500" s="22"/>
      <c r="N500" s="1"/>
      <c r="O500" s="22"/>
      <c r="P500" s="22"/>
      <c r="Q500" s="22"/>
      <c r="S500" s="1"/>
      <c r="T500" s="22"/>
      <c r="V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4:47" ht="15.75" customHeight="1" x14ac:dyDescent="0.2">
      <c r="D501" s="22"/>
      <c r="L501" s="22"/>
      <c r="N501" s="1"/>
      <c r="O501" s="22"/>
      <c r="P501" s="22"/>
      <c r="Q501" s="22"/>
      <c r="S501" s="1"/>
      <c r="T501" s="22"/>
      <c r="V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4:47" ht="15.75" customHeight="1" x14ac:dyDescent="0.2">
      <c r="D502" s="22"/>
      <c r="L502" s="22"/>
      <c r="N502" s="1"/>
      <c r="O502" s="22"/>
      <c r="P502" s="22"/>
      <c r="Q502" s="22"/>
      <c r="S502" s="1"/>
      <c r="T502" s="22"/>
      <c r="V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4:47" ht="15.75" customHeight="1" x14ac:dyDescent="0.2">
      <c r="D503" s="22"/>
      <c r="L503" s="22"/>
      <c r="N503" s="1"/>
      <c r="O503" s="22"/>
      <c r="P503" s="22"/>
      <c r="Q503" s="22"/>
      <c r="S503" s="1"/>
      <c r="T503" s="22"/>
      <c r="V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4:47" ht="15.75" customHeight="1" x14ac:dyDescent="0.2">
      <c r="D504" s="22"/>
      <c r="L504" s="22"/>
      <c r="N504" s="1"/>
      <c r="O504" s="22"/>
      <c r="P504" s="22"/>
      <c r="Q504" s="22"/>
      <c r="S504" s="1"/>
      <c r="T504" s="22"/>
      <c r="V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4:47" ht="15.75" customHeight="1" x14ac:dyDescent="0.2">
      <c r="D505" s="22"/>
      <c r="L505" s="22"/>
      <c r="N505" s="1"/>
      <c r="O505" s="22"/>
      <c r="P505" s="22"/>
      <c r="Q505" s="22"/>
      <c r="S505" s="1"/>
      <c r="T505" s="22"/>
      <c r="V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4:47" ht="15.75" customHeight="1" x14ac:dyDescent="0.2">
      <c r="D506" s="22"/>
      <c r="L506" s="22"/>
      <c r="N506" s="1"/>
      <c r="O506" s="22"/>
      <c r="P506" s="22"/>
      <c r="Q506" s="22"/>
      <c r="S506" s="1"/>
      <c r="T506" s="22"/>
      <c r="V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4:47" ht="15.75" customHeight="1" x14ac:dyDescent="0.2">
      <c r="D507" s="22"/>
      <c r="L507" s="22"/>
      <c r="N507" s="1"/>
      <c r="O507" s="22"/>
      <c r="P507" s="22"/>
      <c r="Q507" s="22"/>
      <c r="S507" s="1"/>
      <c r="T507" s="22"/>
      <c r="V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4:47" ht="15.75" customHeight="1" x14ac:dyDescent="0.2">
      <c r="D508" s="22"/>
      <c r="L508" s="22"/>
      <c r="N508" s="1"/>
      <c r="O508" s="22"/>
      <c r="P508" s="22"/>
      <c r="Q508" s="22"/>
      <c r="S508" s="1"/>
      <c r="T508" s="22"/>
      <c r="V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4:47" ht="15.75" customHeight="1" x14ac:dyDescent="0.2">
      <c r="D509" s="22"/>
      <c r="L509" s="22"/>
      <c r="N509" s="1"/>
      <c r="O509" s="22"/>
      <c r="P509" s="22"/>
      <c r="Q509" s="22"/>
      <c r="S509" s="1"/>
      <c r="T509" s="22"/>
      <c r="V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4:47" ht="15.75" customHeight="1" x14ac:dyDescent="0.2">
      <c r="D510" s="22"/>
      <c r="L510" s="22"/>
      <c r="N510" s="1"/>
      <c r="O510" s="22"/>
      <c r="P510" s="22"/>
      <c r="Q510" s="22"/>
      <c r="S510" s="1"/>
      <c r="T510" s="22"/>
      <c r="V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4:47" ht="15.75" customHeight="1" x14ac:dyDescent="0.2">
      <c r="D511" s="22"/>
      <c r="L511" s="22"/>
      <c r="N511" s="1"/>
      <c r="O511" s="22"/>
      <c r="P511" s="22"/>
      <c r="Q511" s="22"/>
      <c r="S511" s="1"/>
      <c r="T511" s="22"/>
      <c r="V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4:47" ht="15.75" customHeight="1" x14ac:dyDescent="0.2">
      <c r="D512" s="22"/>
      <c r="L512" s="22"/>
      <c r="N512" s="1"/>
      <c r="O512" s="22"/>
      <c r="P512" s="22"/>
      <c r="Q512" s="22"/>
      <c r="S512" s="1"/>
      <c r="T512" s="22"/>
      <c r="V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4:47" ht="15.75" customHeight="1" x14ac:dyDescent="0.2">
      <c r="D513" s="22"/>
      <c r="L513" s="22"/>
      <c r="N513" s="1"/>
      <c r="O513" s="22"/>
      <c r="P513" s="22"/>
      <c r="Q513" s="22"/>
      <c r="S513" s="1"/>
      <c r="T513" s="22"/>
      <c r="V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4:47" ht="15.75" customHeight="1" x14ac:dyDescent="0.2">
      <c r="D514" s="22"/>
      <c r="L514" s="22"/>
      <c r="N514" s="1"/>
      <c r="O514" s="22"/>
      <c r="P514" s="22"/>
      <c r="Q514" s="22"/>
      <c r="S514" s="1"/>
      <c r="T514" s="22"/>
      <c r="V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4:47" ht="15.75" customHeight="1" x14ac:dyDescent="0.2">
      <c r="D515" s="22"/>
      <c r="L515" s="22"/>
      <c r="N515" s="1"/>
      <c r="O515" s="22"/>
      <c r="P515" s="22"/>
      <c r="Q515" s="22"/>
      <c r="S515" s="1"/>
      <c r="T515" s="22"/>
      <c r="V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4:47" ht="15.75" customHeight="1" x14ac:dyDescent="0.2">
      <c r="D516" s="22"/>
      <c r="L516" s="22"/>
      <c r="N516" s="1"/>
      <c r="O516" s="22"/>
      <c r="P516" s="22"/>
      <c r="Q516" s="22"/>
      <c r="S516" s="1"/>
      <c r="T516" s="22"/>
      <c r="V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4:47" ht="15.75" customHeight="1" x14ac:dyDescent="0.2">
      <c r="D517" s="22"/>
      <c r="L517" s="22"/>
      <c r="N517" s="1"/>
      <c r="O517" s="22"/>
      <c r="P517" s="22"/>
      <c r="Q517" s="22"/>
      <c r="S517" s="1"/>
      <c r="T517" s="22"/>
      <c r="V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4:47" ht="15.75" customHeight="1" x14ac:dyDescent="0.2">
      <c r="D518" s="22"/>
      <c r="L518" s="22"/>
      <c r="N518" s="1"/>
      <c r="O518" s="22"/>
      <c r="P518" s="22"/>
      <c r="Q518" s="22"/>
      <c r="S518" s="1"/>
      <c r="T518" s="22"/>
      <c r="V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4:47" ht="15.75" customHeight="1" x14ac:dyDescent="0.2">
      <c r="D519" s="22"/>
      <c r="L519" s="22"/>
      <c r="N519" s="1"/>
      <c r="O519" s="22"/>
      <c r="P519" s="22"/>
      <c r="Q519" s="22"/>
      <c r="S519" s="1"/>
      <c r="T519" s="22"/>
      <c r="V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4:47" ht="15.75" customHeight="1" x14ac:dyDescent="0.2">
      <c r="D520" s="22"/>
      <c r="L520" s="22"/>
      <c r="N520" s="1"/>
      <c r="O520" s="22"/>
      <c r="P520" s="22"/>
      <c r="Q520" s="22"/>
      <c r="S520" s="1"/>
      <c r="T520" s="22"/>
      <c r="V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4:47" ht="15.75" customHeight="1" x14ac:dyDescent="0.2">
      <c r="D521" s="22"/>
      <c r="L521" s="22"/>
      <c r="N521" s="1"/>
      <c r="O521" s="22"/>
      <c r="P521" s="22"/>
      <c r="Q521" s="22"/>
      <c r="S521" s="1"/>
      <c r="T521" s="22"/>
      <c r="V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4:47" ht="15.75" customHeight="1" x14ac:dyDescent="0.2">
      <c r="D522" s="22"/>
      <c r="L522" s="22"/>
      <c r="N522" s="1"/>
      <c r="O522" s="22"/>
      <c r="P522" s="22"/>
      <c r="Q522" s="22"/>
      <c r="S522" s="1"/>
      <c r="T522" s="22"/>
      <c r="V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4:47" ht="15.75" customHeight="1" x14ac:dyDescent="0.2">
      <c r="D523" s="22"/>
      <c r="L523" s="22"/>
      <c r="N523" s="1"/>
      <c r="O523" s="22"/>
      <c r="P523" s="22"/>
      <c r="Q523" s="22"/>
      <c r="S523" s="1"/>
      <c r="T523" s="22"/>
      <c r="V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4:47" ht="15.75" customHeight="1" x14ac:dyDescent="0.2">
      <c r="D524" s="22"/>
      <c r="L524" s="22"/>
      <c r="N524" s="1"/>
      <c r="O524" s="22"/>
      <c r="P524" s="22"/>
      <c r="Q524" s="22"/>
      <c r="S524" s="1"/>
      <c r="T524" s="22"/>
      <c r="V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4:47" ht="15.75" customHeight="1" x14ac:dyDescent="0.2">
      <c r="D525" s="22"/>
      <c r="L525" s="22"/>
      <c r="N525" s="1"/>
      <c r="O525" s="22"/>
      <c r="P525" s="22"/>
      <c r="Q525" s="22"/>
      <c r="S525" s="1"/>
      <c r="T525" s="22"/>
      <c r="V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4:47" ht="15.75" customHeight="1" x14ac:dyDescent="0.2">
      <c r="D526" s="22"/>
      <c r="L526" s="22"/>
      <c r="N526" s="1"/>
      <c r="O526" s="22"/>
      <c r="P526" s="22"/>
      <c r="Q526" s="22"/>
      <c r="S526" s="1"/>
      <c r="T526" s="22"/>
      <c r="V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4:47" ht="15.75" customHeight="1" x14ac:dyDescent="0.2">
      <c r="D527" s="22"/>
      <c r="L527" s="22"/>
      <c r="N527" s="1"/>
      <c r="O527" s="22"/>
      <c r="P527" s="22"/>
      <c r="Q527" s="22"/>
      <c r="S527" s="1"/>
      <c r="T527" s="22"/>
      <c r="V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4:47" ht="15.75" customHeight="1" x14ac:dyDescent="0.2">
      <c r="D528" s="22"/>
      <c r="L528" s="22"/>
      <c r="N528" s="1"/>
      <c r="O528" s="22"/>
      <c r="P528" s="22"/>
      <c r="Q528" s="22"/>
      <c r="S528" s="1"/>
      <c r="T528" s="22"/>
      <c r="V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4:47" ht="15.75" customHeight="1" x14ac:dyDescent="0.2">
      <c r="D529" s="22"/>
      <c r="L529" s="22"/>
      <c r="N529" s="1"/>
      <c r="O529" s="22"/>
      <c r="P529" s="22"/>
      <c r="Q529" s="22"/>
      <c r="S529" s="1"/>
      <c r="T529" s="22"/>
      <c r="V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4:47" ht="15.75" customHeight="1" x14ac:dyDescent="0.2">
      <c r="D530" s="22"/>
      <c r="L530" s="22"/>
      <c r="N530" s="1"/>
      <c r="O530" s="22"/>
      <c r="P530" s="22"/>
      <c r="Q530" s="22"/>
      <c r="S530" s="1"/>
      <c r="T530" s="22"/>
      <c r="V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4:47" ht="15.75" customHeight="1" x14ac:dyDescent="0.2">
      <c r="D531" s="22"/>
      <c r="L531" s="22"/>
      <c r="N531" s="1"/>
      <c r="O531" s="22"/>
      <c r="P531" s="22"/>
      <c r="Q531" s="22"/>
      <c r="S531" s="1"/>
      <c r="T531" s="22"/>
      <c r="V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4:47" ht="15.75" customHeight="1" x14ac:dyDescent="0.2">
      <c r="D532" s="22"/>
      <c r="L532" s="22"/>
      <c r="N532" s="1"/>
      <c r="O532" s="22"/>
      <c r="P532" s="22"/>
      <c r="Q532" s="22"/>
      <c r="S532" s="1"/>
      <c r="T532" s="22"/>
      <c r="V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4:47" ht="15.75" customHeight="1" x14ac:dyDescent="0.2">
      <c r="D533" s="22"/>
      <c r="L533" s="22"/>
      <c r="N533" s="1"/>
      <c r="O533" s="22"/>
      <c r="P533" s="22"/>
      <c r="Q533" s="22"/>
      <c r="S533" s="1"/>
      <c r="T533" s="22"/>
      <c r="V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4:47" ht="15.75" customHeight="1" x14ac:dyDescent="0.2">
      <c r="D534" s="22"/>
      <c r="L534" s="22"/>
      <c r="N534" s="1"/>
      <c r="O534" s="22"/>
      <c r="P534" s="22"/>
      <c r="Q534" s="22"/>
      <c r="S534" s="1"/>
      <c r="T534" s="22"/>
      <c r="V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4:47" ht="15.75" customHeight="1" x14ac:dyDescent="0.2">
      <c r="D535" s="22"/>
      <c r="L535" s="22"/>
      <c r="N535" s="1"/>
      <c r="O535" s="22"/>
      <c r="P535" s="22"/>
      <c r="Q535" s="22"/>
      <c r="S535" s="1"/>
      <c r="T535" s="22"/>
      <c r="V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4:47" ht="15.75" customHeight="1" x14ac:dyDescent="0.2">
      <c r="D536" s="22"/>
      <c r="L536" s="22"/>
      <c r="N536" s="1"/>
      <c r="O536" s="22"/>
      <c r="P536" s="22"/>
      <c r="Q536" s="22"/>
      <c r="S536" s="1"/>
      <c r="T536" s="22"/>
      <c r="V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4:47" ht="15.75" customHeight="1" x14ac:dyDescent="0.2">
      <c r="D537" s="22"/>
      <c r="L537" s="22"/>
      <c r="N537" s="1"/>
      <c r="O537" s="22"/>
      <c r="P537" s="22"/>
      <c r="Q537" s="22"/>
      <c r="S537" s="1"/>
      <c r="T537" s="22"/>
      <c r="V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4:47" ht="15.75" customHeight="1" x14ac:dyDescent="0.2">
      <c r="D538" s="22"/>
      <c r="L538" s="22"/>
      <c r="N538" s="1"/>
      <c r="O538" s="22"/>
      <c r="P538" s="22"/>
      <c r="Q538" s="22"/>
      <c r="S538" s="1"/>
      <c r="T538" s="22"/>
      <c r="V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4:47" ht="15.75" customHeight="1" x14ac:dyDescent="0.2">
      <c r="D539" s="22"/>
      <c r="L539" s="22"/>
      <c r="N539" s="1"/>
      <c r="O539" s="22"/>
      <c r="P539" s="22"/>
      <c r="Q539" s="22"/>
      <c r="S539" s="1"/>
      <c r="T539" s="22"/>
      <c r="V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4:47" ht="15.75" customHeight="1" x14ac:dyDescent="0.2">
      <c r="D540" s="22"/>
      <c r="L540" s="22"/>
      <c r="N540" s="1"/>
      <c r="O540" s="22"/>
      <c r="P540" s="22"/>
      <c r="Q540" s="22"/>
      <c r="S540" s="1"/>
      <c r="T540" s="22"/>
      <c r="V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4:47" ht="15.75" customHeight="1" x14ac:dyDescent="0.2">
      <c r="D541" s="22"/>
      <c r="L541" s="22"/>
      <c r="N541" s="1"/>
      <c r="O541" s="22"/>
      <c r="P541" s="22"/>
      <c r="Q541" s="22"/>
      <c r="S541" s="1"/>
      <c r="T541" s="22"/>
      <c r="V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4:47" ht="15.75" customHeight="1" x14ac:dyDescent="0.2">
      <c r="D542" s="22"/>
      <c r="L542" s="22"/>
      <c r="N542" s="1"/>
      <c r="O542" s="22"/>
      <c r="P542" s="22"/>
      <c r="Q542" s="22"/>
      <c r="S542" s="1"/>
      <c r="T542" s="22"/>
      <c r="V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4:47" ht="15.75" customHeight="1" x14ac:dyDescent="0.2">
      <c r="D543" s="22"/>
      <c r="L543" s="22"/>
      <c r="N543" s="1"/>
      <c r="O543" s="22"/>
      <c r="P543" s="22"/>
      <c r="Q543" s="22"/>
      <c r="S543" s="1"/>
      <c r="T543" s="22"/>
      <c r="V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4:47" ht="15.75" customHeight="1" x14ac:dyDescent="0.2">
      <c r="D544" s="22"/>
      <c r="L544" s="22"/>
      <c r="N544" s="1"/>
      <c r="O544" s="22"/>
      <c r="P544" s="22"/>
      <c r="Q544" s="22"/>
      <c r="S544" s="1"/>
      <c r="T544" s="22"/>
      <c r="V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4:47" ht="15.75" customHeight="1" x14ac:dyDescent="0.2">
      <c r="D545" s="22"/>
      <c r="L545" s="22"/>
      <c r="N545" s="1"/>
      <c r="O545" s="22"/>
      <c r="P545" s="22"/>
      <c r="Q545" s="22"/>
      <c r="S545" s="1"/>
      <c r="T545" s="22"/>
      <c r="V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4:47" ht="15.75" customHeight="1" x14ac:dyDescent="0.2">
      <c r="D546" s="22"/>
      <c r="L546" s="22"/>
      <c r="N546" s="1"/>
      <c r="O546" s="22"/>
      <c r="P546" s="22"/>
      <c r="Q546" s="22"/>
      <c r="S546" s="1"/>
      <c r="T546" s="22"/>
      <c r="V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4:47" ht="15.75" customHeight="1" x14ac:dyDescent="0.2">
      <c r="D547" s="22"/>
      <c r="L547" s="22"/>
      <c r="N547" s="1"/>
      <c r="O547" s="22"/>
      <c r="P547" s="22"/>
      <c r="Q547" s="22"/>
      <c r="S547" s="1"/>
      <c r="T547" s="22"/>
      <c r="V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4:47" ht="15.75" customHeight="1" x14ac:dyDescent="0.2">
      <c r="D548" s="22"/>
      <c r="L548" s="22"/>
      <c r="N548" s="1"/>
      <c r="O548" s="22"/>
      <c r="P548" s="22"/>
      <c r="Q548" s="22"/>
      <c r="S548" s="1"/>
      <c r="T548" s="22"/>
      <c r="V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4:47" ht="15.75" customHeight="1" x14ac:dyDescent="0.2">
      <c r="D549" s="22"/>
      <c r="L549" s="22"/>
      <c r="N549" s="1"/>
      <c r="O549" s="22"/>
      <c r="P549" s="22"/>
      <c r="Q549" s="22"/>
      <c r="S549" s="1"/>
      <c r="T549" s="22"/>
      <c r="V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4:47" ht="15.75" customHeight="1" x14ac:dyDescent="0.2">
      <c r="D550" s="22"/>
      <c r="L550" s="22"/>
      <c r="N550" s="1"/>
      <c r="O550" s="22"/>
      <c r="P550" s="22"/>
      <c r="Q550" s="22"/>
      <c r="S550" s="1"/>
      <c r="T550" s="22"/>
      <c r="V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4:47" ht="15.75" customHeight="1" x14ac:dyDescent="0.2">
      <c r="D551" s="22"/>
      <c r="L551" s="22"/>
      <c r="N551" s="1"/>
      <c r="O551" s="22"/>
      <c r="P551" s="22"/>
      <c r="Q551" s="22"/>
      <c r="S551" s="1"/>
      <c r="T551" s="22"/>
      <c r="V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4:47" ht="15.75" customHeight="1" x14ac:dyDescent="0.2">
      <c r="D552" s="22"/>
      <c r="L552" s="22"/>
      <c r="N552" s="1"/>
      <c r="O552" s="22"/>
      <c r="P552" s="22"/>
      <c r="Q552" s="22"/>
      <c r="S552" s="1"/>
      <c r="T552" s="22"/>
      <c r="V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4:47" ht="15.75" customHeight="1" x14ac:dyDescent="0.2">
      <c r="D553" s="22"/>
      <c r="L553" s="22"/>
      <c r="N553" s="1"/>
      <c r="O553" s="22"/>
      <c r="P553" s="22"/>
      <c r="Q553" s="22"/>
      <c r="S553" s="1"/>
      <c r="T553" s="22"/>
      <c r="V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4:47" ht="15.75" customHeight="1" x14ac:dyDescent="0.2">
      <c r="D554" s="22"/>
      <c r="L554" s="22"/>
      <c r="N554" s="1"/>
      <c r="O554" s="22"/>
      <c r="P554" s="22"/>
      <c r="Q554" s="22"/>
      <c r="S554" s="1"/>
      <c r="T554" s="22"/>
      <c r="V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4:47" ht="15.75" customHeight="1" x14ac:dyDescent="0.2">
      <c r="D555" s="22"/>
      <c r="L555" s="22"/>
      <c r="N555" s="1"/>
      <c r="O555" s="22"/>
      <c r="P555" s="22"/>
      <c r="Q555" s="22"/>
      <c r="S555" s="1"/>
      <c r="T555" s="22"/>
      <c r="V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4:47" ht="15.75" customHeight="1" x14ac:dyDescent="0.2">
      <c r="D556" s="22"/>
      <c r="L556" s="22"/>
      <c r="N556" s="1"/>
      <c r="O556" s="22"/>
      <c r="P556" s="22"/>
      <c r="Q556" s="22"/>
      <c r="S556" s="1"/>
      <c r="T556" s="22"/>
      <c r="V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4:47" ht="15.75" customHeight="1" x14ac:dyDescent="0.2">
      <c r="D557" s="22"/>
      <c r="L557" s="22"/>
      <c r="N557" s="1"/>
      <c r="O557" s="22"/>
      <c r="P557" s="22"/>
      <c r="Q557" s="22"/>
      <c r="S557" s="1"/>
      <c r="T557" s="22"/>
      <c r="V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4:47" ht="15.75" customHeight="1" x14ac:dyDescent="0.2">
      <c r="D558" s="22"/>
      <c r="L558" s="22"/>
      <c r="N558" s="1"/>
      <c r="O558" s="22"/>
      <c r="P558" s="22"/>
      <c r="Q558" s="22"/>
      <c r="S558" s="1"/>
      <c r="T558" s="22"/>
      <c r="V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4:47" ht="15.75" customHeight="1" x14ac:dyDescent="0.2">
      <c r="D559" s="22"/>
      <c r="L559" s="22"/>
      <c r="N559" s="1"/>
      <c r="O559" s="22"/>
      <c r="P559" s="22"/>
      <c r="Q559" s="22"/>
      <c r="S559" s="1"/>
      <c r="T559" s="22"/>
      <c r="V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4:47" ht="15.75" customHeight="1" x14ac:dyDescent="0.2">
      <c r="D560" s="22"/>
      <c r="L560" s="22"/>
      <c r="N560" s="1"/>
      <c r="O560" s="22"/>
      <c r="P560" s="22"/>
      <c r="Q560" s="22"/>
      <c r="S560" s="1"/>
      <c r="T560" s="22"/>
      <c r="V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4:47" ht="15.75" customHeight="1" x14ac:dyDescent="0.2">
      <c r="D561" s="22"/>
      <c r="L561" s="22"/>
      <c r="N561" s="1"/>
      <c r="O561" s="22"/>
      <c r="P561" s="22"/>
      <c r="Q561" s="22"/>
      <c r="S561" s="1"/>
      <c r="T561" s="22"/>
      <c r="V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4:47" ht="15.75" customHeight="1" x14ac:dyDescent="0.2">
      <c r="D562" s="22"/>
      <c r="L562" s="22"/>
      <c r="N562" s="1"/>
      <c r="O562" s="22"/>
      <c r="P562" s="22"/>
      <c r="Q562" s="22"/>
      <c r="S562" s="1"/>
      <c r="T562" s="22"/>
      <c r="V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4:47" ht="15.75" customHeight="1" x14ac:dyDescent="0.2">
      <c r="D563" s="22"/>
      <c r="L563" s="22"/>
      <c r="N563" s="1"/>
      <c r="O563" s="22"/>
      <c r="P563" s="22"/>
      <c r="Q563" s="22"/>
      <c r="S563" s="1"/>
      <c r="T563" s="22"/>
      <c r="V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4:47" ht="15.75" customHeight="1" x14ac:dyDescent="0.2">
      <c r="D564" s="22"/>
      <c r="L564" s="22"/>
      <c r="N564" s="1"/>
      <c r="O564" s="22"/>
      <c r="P564" s="22"/>
      <c r="Q564" s="22"/>
      <c r="S564" s="1"/>
      <c r="T564" s="22"/>
      <c r="V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4:47" ht="15.75" customHeight="1" x14ac:dyDescent="0.2">
      <c r="D565" s="22"/>
      <c r="L565" s="22"/>
      <c r="N565" s="1"/>
      <c r="O565" s="22"/>
      <c r="P565" s="22"/>
      <c r="Q565" s="22"/>
      <c r="S565" s="1"/>
      <c r="T565" s="22"/>
      <c r="V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4:47" ht="15.75" customHeight="1" x14ac:dyDescent="0.2">
      <c r="D566" s="22"/>
      <c r="L566" s="22"/>
      <c r="N566" s="1"/>
      <c r="O566" s="22"/>
      <c r="P566" s="22"/>
      <c r="Q566" s="22"/>
      <c r="S566" s="1"/>
      <c r="T566" s="22"/>
      <c r="V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4:47" ht="15.75" customHeight="1" x14ac:dyDescent="0.2">
      <c r="D567" s="22"/>
      <c r="L567" s="22"/>
      <c r="N567" s="1"/>
      <c r="O567" s="22"/>
      <c r="P567" s="22"/>
      <c r="Q567" s="22"/>
      <c r="S567" s="1"/>
      <c r="T567" s="22"/>
      <c r="V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4:47" ht="15.75" customHeight="1" x14ac:dyDescent="0.2">
      <c r="D568" s="22"/>
      <c r="L568" s="22"/>
      <c r="N568" s="1"/>
      <c r="O568" s="22"/>
      <c r="P568" s="22"/>
      <c r="Q568" s="22"/>
      <c r="S568" s="1"/>
      <c r="T568" s="22"/>
      <c r="V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4:47" ht="15.75" customHeight="1" x14ac:dyDescent="0.2">
      <c r="D569" s="22"/>
      <c r="L569" s="22"/>
      <c r="N569" s="1"/>
      <c r="O569" s="22"/>
      <c r="P569" s="22"/>
      <c r="Q569" s="22"/>
      <c r="S569" s="1"/>
      <c r="T569" s="22"/>
      <c r="V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4:47" ht="15.75" customHeight="1" x14ac:dyDescent="0.2">
      <c r="D570" s="22"/>
      <c r="L570" s="22"/>
      <c r="N570" s="1"/>
      <c r="O570" s="22"/>
      <c r="P570" s="22"/>
      <c r="Q570" s="22"/>
      <c r="S570" s="1"/>
      <c r="T570" s="22"/>
      <c r="V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4:47" ht="15.75" customHeight="1" x14ac:dyDescent="0.2">
      <c r="D571" s="22"/>
      <c r="L571" s="22"/>
      <c r="N571" s="1"/>
      <c r="O571" s="22"/>
      <c r="P571" s="22"/>
      <c r="Q571" s="22"/>
      <c r="S571" s="1"/>
      <c r="T571" s="22"/>
      <c r="V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4:47" ht="15.75" customHeight="1" x14ac:dyDescent="0.2">
      <c r="D572" s="22"/>
      <c r="L572" s="22"/>
      <c r="N572" s="1"/>
      <c r="O572" s="22"/>
      <c r="P572" s="22"/>
      <c r="Q572" s="22"/>
      <c r="S572" s="1"/>
      <c r="T572" s="22"/>
      <c r="V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4:47" ht="15.75" customHeight="1" x14ac:dyDescent="0.2">
      <c r="D573" s="22"/>
      <c r="L573" s="22"/>
      <c r="N573" s="1"/>
      <c r="O573" s="22"/>
      <c r="P573" s="22"/>
      <c r="Q573" s="22"/>
      <c r="S573" s="1"/>
      <c r="T573" s="22"/>
      <c r="V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4:47" ht="15.75" customHeight="1" x14ac:dyDescent="0.2">
      <c r="D574" s="22"/>
      <c r="L574" s="22"/>
      <c r="N574" s="1"/>
      <c r="O574" s="22"/>
      <c r="P574" s="22"/>
      <c r="Q574" s="22"/>
      <c r="S574" s="1"/>
      <c r="T574" s="22"/>
      <c r="V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4:47" ht="15.75" customHeight="1" x14ac:dyDescent="0.2">
      <c r="D575" s="22"/>
      <c r="L575" s="22"/>
      <c r="N575" s="1"/>
      <c r="O575" s="22"/>
      <c r="P575" s="22"/>
      <c r="Q575" s="22"/>
      <c r="S575" s="1"/>
      <c r="T575" s="22"/>
      <c r="V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4:47" ht="15.75" customHeight="1" x14ac:dyDescent="0.2">
      <c r="D576" s="22"/>
      <c r="L576" s="22"/>
      <c r="N576" s="1"/>
      <c r="O576" s="22"/>
      <c r="P576" s="22"/>
      <c r="Q576" s="22"/>
      <c r="S576" s="1"/>
      <c r="T576" s="22"/>
      <c r="V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4:47" ht="15.75" customHeight="1" x14ac:dyDescent="0.2">
      <c r="D577" s="22"/>
      <c r="L577" s="22"/>
      <c r="N577" s="1"/>
      <c r="O577" s="22"/>
      <c r="P577" s="22"/>
      <c r="Q577" s="22"/>
      <c r="S577" s="1"/>
      <c r="T577" s="22"/>
      <c r="V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4:47" ht="15.75" customHeight="1" x14ac:dyDescent="0.2">
      <c r="D578" s="22"/>
      <c r="L578" s="22"/>
      <c r="N578" s="1"/>
      <c r="O578" s="22"/>
      <c r="P578" s="22"/>
      <c r="Q578" s="22"/>
      <c r="S578" s="1"/>
      <c r="T578" s="22"/>
      <c r="V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4:47" ht="15.75" customHeight="1" x14ac:dyDescent="0.2">
      <c r="D579" s="22"/>
      <c r="L579" s="22"/>
      <c r="N579" s="1"/>
      <c r="O579" s="22"/>
      <c r="P579" s="22"/>
      <c r="Q579" s="22"/>
      <c r="S579" s="1"/>
      <c r="T579" s="22"/>
      <c r="V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4:47" ht="15.75" customHeight="1" x14ac:dyDescent="0.2">
      <c r="D580" s="22"/>
      <c r="L580" s="22"/>
      <c r="N580" s="1"/>
      <c r="O580" s="22"/>
      <c r="P580" s="22"/>
      <c r="Q580" s="22"/>
      <c r="S580" s="1"/>
      <c r="T580" s="22"/>
      <c r="V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4:47" ht="15.75" customHeight="1" x14ac:dyDescent="0.2">
      <c r="D581" s="22"/>
      <c r="L581" s="22"/>
      <c r="N581" s="1"/>
      <c r="O581" s="22"/>
      <c r="P581" s="22"/>
      <c r="Q581" s="22"/>
      <c r="S581" s="1"/>
      <c r="T581" s="22"/>
      <c r="V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4:47" ht="15.75" customHeight="1" x14ac:dyDescent="0.2">
      <c r="D582" s="22"/>
      <c r="L582" s="22"/>
      <c r="N582" s="1"/>
      <c r="O582" s="22"/>
      <c r="P582" s="22"/>
      <c r="Q582" s="22"/>
      <c r="S582" s="1"/>
      <c r="T582" s="22"/>
      <c r="V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4:47" ht="15.75" customHeight="1" x14ac:dyDescent="0.2">
      <c r="D583" s="22"/>
      <c r="L583" s="22"/>
      <c r="N583" s="1"/>
      <c r="O583" s="22"/>
      <c r="P583" s="22"/>
      <c r="Q583" s="22"/>
      <c r="S583" s="1"/>
      <c r="T583" s="22"/>
      <c r="V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4:47" ht="15.75" customHeight="1" x14ac:dyDescent="0.2">
      <c r="D584" s="22"/>
      <c r="L584" s="22"/>
      <c r="N584" s="1"/>
      <c r="O584" s="22"/>
      <c r="P584" s="22"/>
      <c r="Q584" s="22"/>
      <c r="S584" s="1"/>
      <c r="T584" s="22"/>
      <c r="V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4:47" ht="15.75" customHeight="1" x14ac:dyDescent="0.2">
      <c r="D585" s="22"/>
      <c r="L585" s="22"/>
      <c r="N585" s="1"/>
      <c r="O585" s="22"/>
      <c r="P585" s="22"/>
      <c r="Q585" s="22"/>
      <c r="S585" s="1"/>
      <c r="T585" s="22"/>
      <c r="V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4:47" ht="15.75" customHeight="1" x14ac:dyDescent="0.2">
      <c r="D586" s="22"/>
      <c r="L586" s="22"/>
      <c r="N586" s="1"/>
      <c r="O586" s="22"/>
      <c r="P586" s="22"/>
      <c r="Q586" s="22"/>
      <c r="S586" s="1"/>
      <c r="T586" s="22"/>
      <c r="V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4:47" ht="15.75" customHeight="1" x14ac:dyDescent="0.2">
      <c r="D587" s="22"/>
      <c r="L587" s="22"/>
      <c r="N587" s="1"/>
      <c r="O587" s="22"/>
      <c r="P587" s="22"/>
      <c r="Q587" s="22"/>
      <c r="S587" s="1"/>
      <c r="T587" s="22"/>
      <c r="V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4:47" ht="15.75" customHeight="1" x14ac:dyDescent="0.2">
      <c r="D588" s="22"/>
      <c r="L588" s="22"/>
      <c r="N588" s="1"/>
      <c r="O588" s="22"/>
      <c r="P588" s="22"/>
      <c r="Q588" s="22"/>
      <c r="S588" s="1"/>
      <c r="T588" s="22"/>
      <c r="V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4:47" ht="15.75" customHeight="1" x14ac:dyDescent="0.2">
      <c r="D589" s="22"/>
      <c r="L589" s="22"/>
      <c r="N589" s="1"/>
      <c r="O589" s="22"/>
      <c r="P589" s="22"/>
      <c r="Q589" s="22"/>
      <c r="S589" s="1"/>
      <c r="T589" s="22"/>
      <c r="V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4:47" ht="15.75" customHeight="1" x14ac:dyDescent="0.2">
      <c r="D590" s="22"/>
      <c r="L590" s="22"/>
      <c r="N590" s="1"/>
      <c r="O590" s="22"/>
      <c r="P590" s="22"/>
      <c r="Q590" s="22"/>
      <c r="S590" s="1"/>
      <c r="T590" s="22"/>
      <c r="V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4:47" ht="15.75" customHeight="1" x14ac:dyDescent="0.2">
      <c r="D591" s="22"/>
      <c r="L591" s="22"/>
      <c r="N591" s="1"/>
      <c r="O591" s="22"/>
      <c r="P591" s="22"/>
      <c r="Q591" s="22"/>
      <c r="S591" s="1"/>
      <c r="T591" s="22"/>
      <c r="V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4:47" ht="15.75" customHeight="1" x14ac:dyDescent="0.2">
      <c r="D592" s="22"/>
      <c r="L592" s="22"/>
      <c r="N592" s="1"/>
      <c r="O592" s="22"/>
      <c r="P592" s="22"/>
      <c r="Q592" s="22"/>
      <c r="S592" s="1"/>
      <c r="T592" s="22"/>
      <c r="V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4:47" ht="15.75" customHeight="1" x14ac:dyDescent="0.2">
      <c r="D593" s="22"/>
      <c r="L593" s="22"/>
      <c r="N593" s="1"/>
      <c r="O593" s="22"/>
      <c r="P593" s="22"/>
      <c r="Q593" s="22"/>
      <c r="S593" s="1"/>
      <c r="T593" s="22"/>
      <c r="V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4:47" ht="15.75" customHeight="1" x14ac:dyDescent="0.2">
      <c r="D594" s="22"/>
      <c r="L594" s="22"/>
      <c r="N594" s="1"/>
      <c r="O594" s="22"/>
      <c r="P594" s="22"/>
      <c r="Q594" s="22"/>
      <c r="S594" s="1"/>
      <c r="T594" s="22"/>
      <c r="V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4:47" ht="15.75" customHeight="1" x14ac:dyDescent="0.2">
      <c r="D595" s="22"/>
      <c r="L595" s="22"/>
      <c r="N595" s="1"/>
      <c r="O595" s="22"/>
      <c r="P595" s="22"/>
      <c r="Q595" s="22"/>
      <c r="S595" s="1"/>
      <c r="T595" s="22"/>
      <c r="V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4:47" ht="15.75" customHeight="1" x14ac:dyDescent="0.2">
      <c r="D596" s="22"/>
      <c r="L596" s="22"/>
      <c r="N596" s="1"/>
      <c r="O596" s="22"/>
      <c r="P596" s="22"/>
      <c r="Q596" s="22"/>
      <c r="S596" s="1"/>
      <c r="T596" s="22"/>
      <c r="V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4:47" ht="15.75" customHeight="1" x14ac:dyDescent="0.2">
      <c r="D597" s="22"/>
      <c r="L597" s="22"/>
      <c r="N597" s="1"/>
      <c r="O597" s="22"/>
      <c r="P597" s="22"/>
      <c r="Q597" s="22"/>
      <c r="S597" s="1"/>
      <c r="T597" s="22"/>
      <c r="V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4:47" ht="15.75" customHeight="1" x14ac:dyDescent="0.2">
      <c r="D598" s="22"/>
      <c r="L598" s="22"/>
      <c r="N598" s="1"/>
      <c r="O598" s="22"/>
      <c r="P598" s="22"/>
      <c r="Q598" s="22"/>
      <c r="S598" s="1"/>
      <c r="T598" s="22"/>
      <c r="V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4:47" ht="15.75" customHeight="1" x14ac:dyDescent="0.2">
      <c r="D599" s="22"/>
      <c r="L599" s="22"/>
      <c r="N599" s="1"/>
      <c r="O599" s="22"/>
      <c r="P599" s="22"/>
      <c r="Q599" s="22"/>
      <c r="S599" s="1"/>
      <c r="T599" s="22"/>
      <c r="V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4:47" ht="15.75" customHeight="1" x14ac:dyDescent="0.2">
      <c r="D600" s="22"/>
      <c r="L600" s="22"/>
      <c r="N600" s="1"/>
      <c r="O600" s="22"/>
      <c r="P600" s="22"/>
      <c r="Q600" s="22"/>
      <c r="S600" s="1"/>
      <c r="T600" s="22"/>
      <c r="V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4:47" ht="15.75" customHeight="1" x14ac:dyDescent="0.2">
      <c r="D601" s="22"/>
      <c r="L601" s="22"/>
      <c r="N601" s="1"/>
      <c r="O601" s="22"/>
      <c r="P601" s="22"/>
      <c r="Q601" s="22"/>
      <c r="S601" s="1"/>
      <c r="T601" s="22"/>
      <c r="V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4:47" ht="15.75" customHeight="1" x14ac:dyDescent="0.2">
      <c r="D602" s="22"/>
      <c r="L602" s="22"/>
      <c r="N602" s="1"/>
      <c r="O602" s="22"/>
      <c r="P602" s="22"/>
      <c r="Q602" s="22"/>
      <c r="S602" s="1"/>
      <c r="T602" s="22"/>
      <c r="V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4:47" ht="15.75" customHeight="1" x14ac:dyDescent="0.2">
      <c r="D603" s="22"/>
      <c r="L603" s="22"/>
      <c r="N603" s="1"/>
      <c r="O603" s="22"/>
      <c r="P603" s="22"/>
      <c r="Q603" s="22"/>
      <c r="S603" s="1"/>
      <c r="T603" s="22"/>
      <c r="V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4:47" ht="15.75" customHeight="1" x14ac:dyDescent="0.2">
      <c r="D604" s="22"/>
      <c r="L604" s="22"/>
      <c r="N604" s="1"/>
      <c r="O604" s="22"/>
      <c r="P604" s="22"/>
      <c r="Q604" s="22"/>
      <c r="S604" s="1"/>
      <c r="T604" s="22"/>
      <c r="V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4:47" ht="15.75" customHeight="1" x14ac:dyDescent="0.2">
      <c r="D605" s="22"/>
      <c r="L605" s="22"/>
      <c r="N605" s="1"/>
      <c r="O605" s="22"/>
      <c r="P605" s="22"/>
      <c r="Q605" s="22"/>
      <c r="S605" s="1"/>
      <c r="T605" s="22"/>
      <c r="V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4:47" ht="15.75" customHeight="1" x14ac:dyDescent="0.2">
      <c r="D606" s="22"/>
      <c r="L606" s="22"/>
      <c r="N606" s="1"/>
      <c r="O606" s="22"/>
      <c r="P606" s="22"/>
      <c r="Q606" s="22"/>
      <c r="S606" s="1"/>
      <c r="T606" s="22"/>
      <c r="V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4:47" ht="15.75" customHeight="1" x14ac:dyDescent="0.2">
      <c r="D607" s="22"/>
      <c r="L607" s="22"/>
      <c r="N607" s="1"/>
      <c r="O607" s="22"/>
      <c r="P607" s="22"/>
      <c r="Q607" s="22"/>
      <c r="S607" s="1"/>
      <c r="T607" s="22"/>
      <c r="V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4:47" ht="15.75" customHeight="1" x14ac:dyDescent="0.2">
      <c r="D608" s="22"/>
      <c r="L608" s="22"/>
      <c r="N608" s="1"/>
      <c r="O608" s="22"/>
      <c r="P608" s="22"/>
      <c r="Q608" s="22"/>
      <c r="S608" s="1"/>
      <c r="T608" s="22"/>
      <c r="V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4:47" ht="15.75" customHeight="1" x14ac:dyDescent="0.2">
      <c r="D609" s="22"/>
      <c r="L609" s="22"/>
      <c r="N609" s="1"/>
      <c r="O609" s="22"/>
      <c r="P609" s="22"/>
      <c r="Q609" s="22"/>
      <c r="S609" s="1"/>
      <c r="T609" s="22"/>
      <c r="V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4:47" ht="15.75" customHeight="1" x14ac:dyDescent="0.2">
      <c r="D610" s="22"/>
      <c r="L610" s="22"/>
      <c r="N610" s="1"/>
      <c r="O610" s="22"/>
      <c r="P610" s="22"/>
      <c r="Q610" s="22"/>
      <c r="S610" s="1"/>
      <c r="T610" s="22"/>
      <c r="V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4:47" ht="15.75" customHeight="1" x14ac:dyDescent="0.2">
      <c r="D611" s="22"/>
      <c r="L611" s="22"/>
      <c r="N611" s="1"/>
      <c r="O611" s="22"/>
      <c r="P611" s="22"/>
      <c r="Q611" s="22"/>
      <c r="S611" s="1"/>
      <c r="T611" s="22"/>
      <c r="V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4:47" ht="15.75" customHeight="1" x14ac:dyDescent="0.2">
      <c r="D612" s="22"/>
      <c r="L612" s="22"/>
      <c r="N612" s="1"/>
      <c r="O612" s="22"/>
      <c r="P612" s="22"/>
      <c r="Q612" s="22"/>
      <c r="S612" s="1"/>
      <c r="T612" s="22"/>
      <c r="V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4:47" ht="15.75" customHeight="1" x14ac:dyDescent="0.2">
      <c r="D613" s="22"/>
      <c r="L613" s="22"/>
      <c r="N613" s="1"/>
      <c r="O613" s="22"/>
      <c r="P613" s="22"/>
      <c r="Q613" s="22"/>
      <c r="S613" s="1"/>
      <c r="T613" s="22"/>
      <c r="V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4:47" ht="15.75" customHeight="1" x14ac:dyDescent="0.2">
      <c r="D614" s="22"/>
      <c r="L614" s="22"/>
      <c r="N614" s="1"/>
      <c r="O614" s="22"/>
      <c r="P614" s="22"/>
      <c r="Q614" s="22"/>
      <c r="S614" s="1"/>
      <c r="T614" s="22"/>
      <c r="V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4:47" ht="15.75" customHeight="1" x14ac:dyDescent="0.2">
      <c r="D615" s="22"/>
      <c r="L615" s="22"/>
      <c r="N615" s="1"/>
      <c r="O615" s="22"/>
      <c r="P615" s="22"/>
      <c r="Q615" s="22"/>
      <c r="S615" s="1"/>
      <c r="T615" s="22"/>
      <c r="V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4:47" ht="15.75" customHeight="1" x14ac:dyDescent="0.2">
      <c r="D616" s="22"/>
      <c r="L616" s="22"/>
      <c r="N616" s="1"/>
      <c r="O616" s="22"/>
      <c r="P616" s="22"/>
      <c r="Q616" s="22"/>
      <c r="S616" s="1"/>
      <c r="T616" s="22"/>
      <c r="V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4:47" ht="15.75" customHeight="1" x14ac:dyDescent="0.2">
      <c r="D617" s="22"/>
      <c r="L617" s="22"/>
      <c r="N617" s="1"/>
      <c r="O617" s="22"/>
      <c r="P617" s="22"/>
      <c r="Q617" s="22"/>
      <c r="S617" s="1"/>
      <c r="T617" s="22"/>
      <c r="V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4:47" ht="15.75" customHeight="1" x14ac:dyDescent="0.2">
      <c r="D618" s="22"/>
      <c r="L618" s="22"/>
      <c r="N618" s="1"/>
      <c r="O618" s="22"/>
      <c r="P618" s="22"/>
      <c r="Q618" s="22"/>
      <c r="S618" s="1"/>
      <c r="T618" s="22"/>
      <c r="V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4:47" ht="15.75" customHeight="1" x14ac:dyDescent="0.2">
      <c r="D619" s="22"/>
      <c r="L619" s="22"/>
      <c r="N619" s="1"/>
      <c r="O619" s="22"/>
      <c r="P619" s="22"/>
      <c r="Q619" s="22"/>
      <c r="S619" s="1"/>
      <c r="T619" s="22"/>
      <c r="V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4:47" ht="15.75" customHeight="1" x14ac:dyDescent="0.2">
      <c r="D620" s="22"/>
      <c r="L620" s="22"/>
      <c r="N620" s="1"/>
      <c r="O620" s="22"/>
      <c r="P620" s="22"/>
      <c r="Q620" s="22"/>
      <c r="S620" s="1"/>
      <c r="T620" s="22"/>
      <c r="V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4:47" ht="15.75" customHeight="1" x14ac:dyDescent="0.2">
      <c r="D621" s="22"/>
      <c r="L621" s="22"/>
      <c r="N621" s="1"/>
      <c r="O621" s="22"/>
      <c r="P621" s="22"/>
      <c r="Q621" s="22"/>
      <c r="S621" s="1"/>
      <c r="T621" s="22"/>
      <c r="V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4:47" ht="15.75" customHeight="1" x14ac:dyDescent="0.2">
      <c r="D622" s="22"/>
      <c r="L622" s="22"/>
      <c r="N622" s="1"/>
      <c r="O622" s="22"/>
      <c r="P622" s="22"/>
      <c r="Q622" s="22"/>
      <c r="S622" s="1"/>
      <c r="T622" s="22"/>
      <c r="V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4:47" ht="15.75" customHeight="1" x14ac:dyDescent="0.2">
      <c r="D623" s="22"/>
      <c r="L623" s="22"/>
      <c r="N623" s="1"/>
      <c r="O623" s="22"/>
      <c r="P623" s="22"/>
      <c r="Q623" s="22"/>
      <c r="S623" s="1"/>
      <c r="T623" s="22"/>
      <c r="V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4:47" ht="15.75" customHeight="1" x14ac:dyDescent="0.2">
      <c r="D624" s="22"/>
      <c r="L624" s="22"/>
      <c r="N624" s="1"/>
      <c r="O624" s="22"/>
      <c r="P624" s="22"/>
      <c r="Q624" s="22"/>
      <c r="S624" s="1"/>
      <c r="T624" s="22"/>
      <c r="V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4:47" ht="15.75" customHeight="1" x14ac:dyDescent="0.2">
      <c r="D625" s="22"/>
      <c r="L625" s="22"/>
      <c r="N625" s="1"/>
      <c r="O625" s="22"/>
      <c r="P625" s="22"/>
      <c r="Q625" s="22"/>
      <c r="S625" s="1"/>
      <c r="T625" s="22"/>
      <c r="V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4:47" ht="15.75" customHeight="1" x14ac:dyDescent="0.2">
      <c r="D626" s="22"/>
      <c r="L626" s="22"/>
      <c r="N626" s="1"/>
      <c r="O626" s="22"/>
      <c r="P626" s="22"/>
      <c r="Q626" s="22"/>
      <c r="S626" s="1"/>
      <c r="T626" s="22"/>
      <c r="V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4:47" ht="15.75" customHeight="1" x14ac:dyDescent="0.2">
      <c r="D627" s="22"/>
      <c r="L627" s="22"/>
      <c r="N627" s="1"/>
      <c r="O627" s="22"/>
      <c r="P627" s="22"/>
      <c r="Q627" s="22"/>
      <c r="S627" s="1"/>
      <c r="T627" s="22"/>
      <c r="V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4:47" ht="15.75" customHeight="1" x14ac:dyDescent="0.2">
      <c r="D628" s="22"/>
      <c r="L628" s="22"/>
      <c r="N628" s="1"/>
      <c r="O628" s="22"/>
      <c r="P628" s="22"/>
      <c r="Q628" s="22"/>
      <c r="S628" s="1"/>
      <c r="T628" s="22"/>
      <c r="V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4:47" ht="15.75" customHeight="1" x14ac:dyDescent="0.2">
      <c r="D629" s="22"/>
      <c r="L629" s="22"/>
      <c r="N629" s="1"/>
      <c r="O629" s="22"/>
      <c r="P629" s="22"/>
      <c r="Q629" s="22"/>
      <c r="S629" s="1"/>
      <c r="T629" s="22"/>
      <c r="V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4:47" ht="15.75" customHeight="1" x14ac:dyDescent="0.2">
      <c r="D630" s="22"/>
      <c r="L630" s="22"/>
      <c r="N630" s="1"/>
      <c r="O630" s="22"/>
      <c r="P630" s="22"/>
      <c r="Q630" s="22"/>
      <c r="S630" s="1"/>
      <c r="T630" s="22"/>
      <c r="V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4:47" ht="15.75" customHeight="1" x14ac:dyDescent="0.2">
      <c r="D631" s="22"/>
      <c r="L631" s="22"/>
      <c r="N631" s="1"/>
      <c r="O631" s="22"/>
      <c r="P631" s="22"/>
      <c r="Q631" s="22"/>
      <c r="S631" s="1"/>
      <c r="T631" s="22"/>
      <c r="V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4:47" ht="15.75" customHeight="1" x14ac:dyDescent="0.2">
      <c r="D632" s="22"/>
      <c r="L632" s="22"/>
      <c r="N632" s="1"/>
      <c r="O632" s="22"/>
      <c r="P632" s="22"/>
      <c r="Q632" s="22"/>
      <c r="S632" s="1"/>
      <c r="T632" s="22"/>
      <c r="V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4:47" ht="15.75" customHeight="1" x14ac:dyDescent="0.2">
      <c r="D633" s="22"/>
      <c r="L633" s="22"/>
      <c r="N633" s="1"/>
      <c r="O633" s="22"/>
      <c r="P633" s="22"/>
      <c r="Q633" s="22"/>
      <c r="S633" s="1"/>
      <c r="T633" s="22"/>
      <c r="V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4:47" ht="15.75" customHeight="1" x14ac:dyDescent="0.2">
      <c r="D634" s="22"/>
      <c r="L634" s="22"/>
      <c r="N634" s="1"/>
      <c r="O634" s="22"/>
      <c r="P634" s="22"/>
      <c r="Q634" s="22"/>
      <c r="S634" s="1"/>
      <c r="T634" s="22"/>
      <c r="V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4:47" ht="15.75" customHeight="1" x14ac:dyDescent="0.2">
      <c r="D635" s="22"/>
      <c r="L635" s="22"/>
      <c r="N635" s="1"/>
      <c r="O635" s="22"/>
      <c r="P635" s="22"/>
      <c r="Q635" s="22"/>
      <c r="S635" s="1"/>
      <c r="T635" s="22"/>
      <c r="V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4:47" ht="15.75" customHeight="1" x14ac:dyDescent="0.2">
      <c r="D636" s="22"/>
      <c r="L636" s="22"/>
      <c r="N636" s="1"/>
      <c r="O636" s="22"/>
      <c r="P636" s="22"/>
      <c r="Q636" s="22"/>
      <c r="S636" s="1"/>
      <c r="T636" s="22"/>
      <c r="V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4:47" ht="15.75" customHeight="1" x14ac:dyDescent="0.2">
      <c r="D637" s="22"/>
      <c r="L637" s="22"/>
      <c r="N637" s="1"/>
      <c r="O637" s="22"/>
      <c r="P637" s="22"/>
      <c r="Q637" s="22"/>
      <c r="S637" s="1"/>
      <c r="T637" s="22"/>
      <c r="V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4:47" ht="15.75" customHeight="1" x14ac:dyDescent="0.2">
      <c r="D638" s="22"/>
      <c r="L638" s="22"/>
      <c r="N638" s="1"/>
      <c r="O638" s="22"/>
      <c r="P638" s="22"/>
      <c r="Q638" s="22"/>
      <c r="S638" s="1"/>
      <c r="T638" s="22"/>
      <c r="V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4:47" ht="15.75" customHeight="1" x14ac:dyDescent="0.2">
      <c r="D639" s="22"/>
      <c r="L639" s="22"/>
      <c r="N639" s="1"/>
      <c r="O639" s="22"/>
      <c r="P639" s="22"/>
      <c r="Q639" s="22"/>
      <c r="S639" s="1"/>
      <c r="T639" s="22"/>
      <c r="V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4:47" ht="15.75" customHeight="1" x14ac:dyDescent="0.2">
      <c r="D640" s="22"/>
      <c r="L640" s="22"/>
      <c r="N640" s="1"/>
      <c r="O640" s="22"/>
      <c r="P640" s="22"/>
      <c r="Q640" s="22"/>
      <c r="S640" s="1"/>
      <c r="T640" s="22"/>
      <c r="V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4:47" ht="15.75" customHeight="1" x14ac:dyDescent="0.2">
      <c r="D641" s="22"/>
      <c r="L641" s="22"/>
      <c r="N641" s="1"/>
      <c r="O641" s="22"/>
      <c r="P641" s="22"/>
      <c r="Q641" s="22"/>
      <c r="S641" s="1"/>
      <c r="T641" s="22"/>
      <c r="V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4:47" ht="15.75" customHeight="1" x14ac:dyDescent="0.2">
      <c r="D642" s="22"/>
      <c r="L642" s="22"/>
      <c r="N642" s="1"/>
      <c r="O642" s="22"/>
      <c r="P642" s="22"/>
      <c r="Q642" s="22"/>
      <c r="S642" s="1"/>
      <c r="T642" s="22"/>
      <c r="V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4:47" ht="15.75" customHeight="1" x14ac:dyDescent="0.2">
      <c r="D643" s="22"/>
      <c r="L643" s="22"/>
      <c r="N643" s="1"/>
      <c r="O643" s="22"/>
      <c r="P643" s="22"/>
      <c r="Q643" s="22"/>
      <c r="S643" s="1"/>
      <c r="T643" s="22"/>
      <c r="V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4:47" ht="15.75" customHeight="1" x14ac:dyDescent="0.2">
      <c r="D644" s="22"/>
      <c r="L644" s="22"/>
      <c r="N644" s="1"/>
      <c r="O644" s="22"/>
      <c r="P644" s="22"/>
      <c r="Q644" s="22"/>
      <c r="S644" s="1"/>
      <c r="T644" s="22"/>
      <c r="V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4:47" ht="15.75" customHeight="1" x14ac:dyDescent="0.2">
      <c r="D645" s="22"/>
      <c r="L645" s="22"/>
      <c r="N645" s="1"/>
      <c r="O645" s="22"/>
      <c r="P645" s="22"/>
      <c r="Q645" s="22"/>
      <c r="S645" s="1"/>
      <c r="T645" s="22"/>
      <c r="V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4:47" ht="15.75" customHeight="1" x14ac:dyDescent="0.2">
      <c r="D646" s="22"/>
      <c r="L646" s="22"/>
      <c r="N646" s="1"/>
      <c r="O646" s="22"/>
      <c r="P646" s="22"/>
      <c r="Q646" s="22"/>
      <c r="S646" s="1"/>
      <c r="T646" s="22"/>
      <c r="V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4:47" ht="15.75" customHeight="1" x14ac:dyDescent="0.2">
      <c r="D647" s="22"/>
      <c r="L647" s="22"/>
      <c r="N647" s="1"/>
      <c r="O647" s="22"/>
      <c r="P647" s="22"/>
      <c r="Q647" s="22"/>
      <c r="S647" s="1"/>
      <c r="T647" s="22"/>
      <c r="V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4:47" ht="15.75" customHeight="1" x14ac:dyDescent="0.2">
      <c r="D648" s="22"/>
      <c r="L648" s="22"/>
      <c r="N648" s="1"/>
      <c r="O648" s="22"/>
      <c r="P648" s="22"/>
      <c r="Q648" s="22"/>
      <c r="S648" s="1"/>
      <c r="T648" s="22"/>
      <c r="V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4:47" ht="15.75" customHeight="1" x14ac:dyDescent="0.2">
      <c r="D649" s="22"/>
      <c r="L649" s="22"/>
      <c r="N649" s="1"/>
      <c r="O649" s="22"/>
      <c r="P649" s="22"/>
      <c r="Q649" s="22"/>
      <c r="S649" s="1"/>
      <c r="T649" s="22"/>
      <c r="V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4:47" ht="15.75" customHeight="1" x14ac:dyDescent="0.2">
      <c r="D650" s="22"/>
      <c r="L650" s="22"/>
      <c r="N650" s="1"/>
      <c r="O650" s="22"/>
      <c r="P650" s="22"/>
      <c r="Q650" s="22"/>
      <c r="S650" s="1"/>
      <c r="T650" s="22"/>
      <c r="V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4:47" ht="15.75" customHeight="1" x14ac:dyDescent="0.2">
      <c r="D651" s="22"/>
      <c r="L651" s="22"/>
      <c r="N651" s="1"/>
      <c r="O651" s="22"/>
      <c r="P651" s="22"/>
      <c r="Q651" s="22"/>
      <c r="S651" s="1"/>
      <c r="T651" s="22"/>
      <c r="V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4:47" ht="15.75" customHeight="1" x14ac:dyDescent="0.2">
      <c r="D652" s="22"/>
      <c r="L652" s="22"/>
      <c r="N652" s="1"/>
      <c r="O652" s="22"/>
      <c r="P652" s="22"/>
      <c r="Q652" s="22"/>
      <c r="S652" s="1"/>
      <c r="T652" s="22"/>
      <c r="V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4:47" ht="15.75" customHeight="1" x14ac:dyDescent="0.2">
      <c r="D653" s="22"/>
      <c r="L653" s="22"/>
      <c r="N653" s="1"/>
      <c r="O653" s="22"/>
      <c r="P653" s="22"/>
      <c r="Q653" s="22"/>
      <c r="S653" s="1"/>
      <c r="T653" s="22"/>
      <c r="V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4:47" ht="15.75" customHeight="1" x14ac:dyDescent="0.2">
      <c r="D654" s="22"/>
      <c r="L654" s="22"/>
      <c r="N654" s="1"/>
      <c r="O654" s="22"/>
      <c r="P654" s="22"/>
      <c r="Q654" s="22"/>
      <c r="S654" s="1"/>
      <c r="T654" s="22"/>
      <c r="V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4:47" ht="15.75" customHeight="1" x14ac:dyDescent="0.2">
      <c r="D655" s="22"/>
      <c r="L655" s="22"/>
      <c r="N655" s="1"/>
      <c r="O655" s="22"/>
      <c r="P655" s="22"/>
      <c r="Q655" s="22"/>
      <c r="S655" s="1"/>
      <c r="T655" s="22"/>
      <c r="V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4:47" ht="15.75" customHeight="1" x14ac:dyDescent="0.2">
      <c r="D656" s="22"/>
      <c r="L656" s="22"/>
      <c r="N656" s="1"/>
      <c r="O656" s="22"/>
      <c r="P656" s="22"/>
      <c r="Q656" s="22"/>
      <c r="S656" s="1"/>
      <c r="T656" s="22"/>
      <c r="V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4:47" ht="15.75" customHeight="1" x14ac:dyDescent="0.2">
      <c r="D657" s="22"/>
      <c r="L657" s="22"/>
      <c r="N657" s="1"/>
      <c r="O657" s="22"/>
      <c r="P657" s="22"/>
      <c r="Q657" s="22"/>
      <c r="S657" s="1"/>
      <c r="T657" s="22"/>
      <c r="V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4:47" ht="15.75" customHeight="1" x14ac:dyDescent="0.2">
      <c r="D658" s="22"/>
      <c r="L658" s="22"/>
      <c r="N658" s="1"/>
      <c r="O658" s="22"/>
      <c r="P658" s="22"/>
      <c r="Q658" s="22"/>
      <c r="S658" s="1"/>
      <c r="T658" s="22"/>
      <c r="V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4:47" ht="15.75" customHeight="1" x14ac:dyDescent="0.2">
      <c r="D659" s="22"/>
      <c r="L659" s="22"/>
      <c r="N659" s="1"/>
      <c r="O659" s="22"/>
      <c r="P659" s="22"/>
      <c r="Q659" s="22"/>
      <c r="S659" s="1"/>
      <c r="T659" s="22"/>
      <c r="V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4:47" ht="15.75" customHeight="1" x14ac:dyDescent="0.2">
      <c r="D660" s="22"/>
      <c r="L660" s="22"/>
      <c r="N660" s="1"/>
      <c r="O660" s="22"/>
      <c r="P660" s="22"/>
      <c r="Q660" s="22"/>
      <c r="S660" s="1"/>
      <c r="T660" s="22"/>
      <c r="V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4:47" ht="15.75" customHeight="1" x14ac:dyDescent="0.2">
      <c r="D661" s="22"/>
      <c r="L661" s="22"/>
      <c r="N661" s="1"/>
      <c r="O661" s="22"/>
      <c r="P661" s="22"/>
      <c r="Q661" s="22"/>
      <c r="S661" s="1"/>
      <c r="T661" s="22"/>
      <c r="V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4:47" ht="15.75" customHeight="1" x14ac:dyDescent="0.2">
      <c r="D662" s="22"/>
      <c r="L662" s="22"/>
      <c r="N662" s="1"/>
      <c r="O662" s="22"/>
      <c r="P662" s="22"/>
      <c r="Q662" s="22"/>
      <c r="S662" s="1"/>
      <c r="T662" s="22"/>
      <c r="V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4:47" ht="15.75" customHeight="1" x14ac:dyDescent="0.2">
      <c r="D663" s="22"/>
      <c r="L663" s="22"/>
      <c r="N663" s="1"/>
      <c r="O663" s="22"/>
      <c r="P663" s="22"/>
      <c r="Q663" s="22"/>
      <c r="S663" s="1"/>
      <c r="T663" s="22"/>
      <c r="V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4:47" ht="15.75" customHeight="1" x14ac:dyDescent="0.2">
      <c r="D664" s="22"/>
      <c r="L664" s="22"/>
      <c r="N664" s="1"/>
      <c r="O664" s="22"/>
      <c r="P664" s="22"/>
      <c r="Q664" s="22"/>
      <c r="S664" s="1"/>
      <c r="T664" s="22"/>
      <c r="V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4:47" ht="15.75" customHeight="1" x14ac:dyDescent="0.2">
      <c r="D665" s="22"/>
      <c r="L665" s="22"/>
      <c r="N665" s="1"/>
      <c r="O665" s="22"/>
      <c r="P665" s="22"/>
      <c r="Q665" s="22"/>
      <c r="S665" s="1"/>
      <c r="T665" s="22"/>
      <c r="V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4:47" ht="15.75" customHeight="1" x14ac:dyDescent="0.2">
      <c r="D666" s="22"/>
      <c r="L666" s="22"/>
      <c r="N666" s="1"/>
      <c r="O666" s="22"/>
      <c r="P666" s="22"/>
      <c r="Q666" s="22"/>
      <c r="S666" s="1"/>
      <c r="T666" s="22"/>
      <c r="V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4:47" ht="15.75" customHeight="1" x14ac:dyDescent="0.2">
      <c r="D667" s="22"/>
      <c r="L667" s="22"/>
      <c r="N667" s="1"/>
      <c r="O667" s="22"/>
      <c r="P667" s="22"/>
      <c r="Q667" s="22"/>
      <c r="S667" s="1"/>
      <c r="T667" s="22"/>
      <c r="V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4:47" ht="15.75" customHeight="1" x14ac:dyDescent="0.2">
      <c r="D668" s="22"/>
      <c r="L668" s="22"/>
      <c r="N668" s="1"/>
      <c r="O668" s="22"/>
      <c r="P668" s="22"/>
      <c r="Q668" s="22"/>
      <c r="S668" s="1"/>
      <c r="T668" s="22"/>
      <c r="V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4:47" ht="15.75" customHeight="1" x14ac:dyDescent="0.2">
      <c r="D669" s="22"/>
      <c r="L669" s="22"/>
      <c r="N669" s="1"/>
      <c r="O669" s="22"/>
      <c r="P669" s="22"/>
      <c r="Q669" s="22"/>
      <c r="S669" s="1"/>
      <c r="T669" s="22"/>
      <c r="V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4:47" ht="15.75" customHeight="1" x14ac:dyDescent="0.2">
      <c r="D670" s="22"/>
      <c r="L670" s="22"/>
      <c r="N670" s="1"/>
      <c r="O670" s="22"/>
      <c r="P670" s="22"/>
      <c r="Q670" s="22"/>
      <c r="S670" s="1"/>
      <c r="T670" s="22"/>
      <c r="V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4:47" ht="15.75" customHeight="1" x14ac:dyDescent="0.2">
      <c r="D671" s="22"/>
      <c r="L671" s="22"/>
      <c r="N671" s="1"/>
      <c r="O671" s="22"/>
      <c r="P671" s="22"/>
      <c r="Q671" s="22"/>
      <c r="S671" s="1"/>
      <c r="T671" s="22"/>
      <c r="V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4:47" ht="15.75" customHeight="1" x14ac:dyDescent="0.2">
      <c r="D672" s="22"/>
      <c r="L672" s="22"/>
      <c r="N672" s="1"/>
      <c r="O672" s="22"/>
      <c r="P672" s="22"/>
      <c r="Q672" s="22"/>
      <c r="S672" s="1"/>
      <c r="T672" s="22"/>
      <c r="V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4:47" ht="15.75" customHeight="1" x14ac:dyDescent="0.2">
      <c r="D673" s="22"/>
      <c r="L673" s="22"/>
      <c r="N673" s="1"/>
      <c r="O673" s="22"/>
      <c r="P673" s="22"/>
      <c r="Q673" s="22"/>
      <c r="S673" s="1"/>
      <c r="T673" s="22"/>
      <c r="V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4:47" ht="15.75" customHeight="1" x14ac:dyDescent="0.2">
      <c r="D674" s="22"/>
      <c r="L674" s="22"/>
      <c r="N674" s="1"/>
      <c r="O674" s="22"/>
      <c r="P674" s="22"/>
      <c r="Q674" s="22"/>
      <c r="S674" s="1"/>
      <c r="T674" s="22"/>
      <c r="V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4:47" ht="15.75" customHeight="1" x14ac:dyDescent="0.2">
      <c r="D675" s="22"/>
      <c r="L675" s="22"/>
      <c r="N675" s="1"/>
      <c r="O675" s="22"/>
      <c r="P675" s="22"/>
      <c r="Q675" s="22"/>
      <c r="S675" s="1"/>
      <c r="T675" s="22"/>
      <c r="V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4:47" ht="15.75" customHeight="1" x14ac:dyDescent="0.2">
      <c r="D676" s="22"/>
      <c r="L676" s="22"/>
      <c r="N676" s="1"/>
      <c r="O676" s="22"/>
      <c r="P676" s="22"/>
      <c r="Q676" s="22"/>
      <c r="S676" s="1"/>
      <c r="T676" s="22"/>
      <c r="V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4:47" ht="15.75" customHeight="1" x14ac:dyDescent="0.2">
      <c r="D677" s="22"/>
      <c r="L677" s="22"/>
      <c r="N677" s="1"/>
      <c r="O677" s="22"/>
      <c r="P677" s="22"/>
      <c r="Q677" s="22"/>
      <c r="S677" s="1"/>
      <c r="T677" s="22"/>
      <c r="V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4:47" ht="15.75" customHeight="1" x14ac:dyDescent="0.2">
      <c r="D678" s="22"/>
      <c r="L678" s="22"/>
      <c r="N678" s="1"/>
      <c r="O678" s="22"/>
      <c r="P678" s="22"/>
      <c r="Q678" s="22"/>
      <c r="S678" s="1"/>
      <c r="T678" s="22"/>
      <c r="V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4:47" ht="15.75" customHeight="1" x14ac:dyDescent="0.2">
      <c r="D679" s="22"/>
      <c r="L679" s="22"/>
      <c r="N679" s="1"/>
      <c r="O679" s="22"/>
      <c r="P679" s="22"/>
      <c r="Q679" s="22"/>
      <c r="S679" s="1"/>
      <c r="T679" s="22"/>
      <c r="V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4:47" ht="15.75" customHeight="1" x14ac:dyDescent="0.2">
      <c r="D680" s="22"/>
      <c r="L680" s="22"/>
      <c r="N680" s="1"/>
      <c r="O680" s="22"/>
      <c r="P680" s="22"/>
      <c r="Q680" s="22"/>
      <c r="S680" s="1"/>
      <c r="T680" s="22"/>
      <c r="V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4:47" ht="15.75" customHeight="1" x14ac:dyDescent="0.2">
      <c r="D681" s="22"/>
      <c r="L681" s="22"/>
      <c r="N681" s="1"/>
      <c r="O681" s="22"/>
      <c r="P681" s="22"/>
      <c r="Q681" s="22"/>
      <c r="S681" s="1"/>
      <c r="T681" s="22"/>
      <c r="V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4:47" ht="15.75" customHeight="1" x14ac:dyDescent="0.2">
      <c r="D682" s="22"/>
      <c r="L682" s="22"/>
      <c r="N682" s="1"/>
      <c r="O682" s="22"/>
      <c r="P682" s="22"/>
      <c r="Q682" s="22"/>
      <c r="S682" s="1"/>
      <c r="T682" s="22"/>
      <c r="V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4:47" ht="15.75" customHeight="1" x14ac:dyDescent="0.2">
      <c r="D683" s="22"/>
      <c r="L683" s="22"/>
      <c r="N683" s="1"/>
      <c r="O683" s="22"/>
      <c r="P683" s="22"/>
      <c r="Q683" s="22"/>
      <c r="S683" s="1"/>
      <c r="T683" s="22"/>
      <c r="V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4:47" ht="15.75" customHeight="1" x14ac:dyDescent="0.2">
      <c r="D684" s="22"/>
      <c r="L684" s="22"/>
      <c r="N684" s="1"/>
      <c r="O684" s="22"/>
      <c r="P684" s="22"/>
      <c r="Q684" s="22"/>
      <c r="S684" s="1"/>
      <c r="T684" s="22"/>
      <c r="V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4:47" ht="15.75" customHeight="1" x14ac:dyDescent="0.2">
      <c r="D685" s="22"/>
      <c r="L685" s="22"/>
      <c r="N685" s="1"/>
      <c r="O685" s="22"/>
      <c r="P685" s="22"/>
      <c r="Q685" s="22"/>
      <c r="S685" s="1"/>
      <c r="T685" s="22"/>
      <c r="V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4:47" ht="15.75" customHeight="1" x14ac:dyDescent="0.2">
      <c r="D686" s="22"/>
      <c r="L686" s="22"/>
      <c r="N686" s="1"/>
      <c r="O686" s="22"/>
      <c r="P686" s="22"/>
      <c r="Q686" s="22"/>
      <c r="S686" s="1"/>
      <c r="T686" s="22"/>
      <c r="V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4:47" ht="15.75" customHeight="1" x14ac:dyDescent="0.2">
      <c r="D687" s="22"/>
      <c r="L687" s="22"/>
      <c r="N687" s="1"/>
      <c r="O687" s="22"/>
      <c r="P687" s="22"/>
      <c r="Q687" s="22"/>
      <c r="S687" s="1"/>
      <c r="T687" s="22"/>
      <c r="V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4:47" ht="15.75" customHeight="1" x14ac:dyDescent="0.2">
      <c r="D688" s="22"/>
      <c r="L688" s="22"/>
      <c r="N688" s="1"/>
      <c r="O688" s="22"/>
      <c r="P688" s="22"/>
      <c r="Q688" s="22"/>
      <c r="S688" s="1"/>
      <c r="T688" s="22"/>
      <c r="V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4:47" ht="15.75" customHeight="1" x14ac:dyDescent="0.2">
      <c r="D689" s="22"/>
      <c r="L689" s="22"/>
      <c r="N689" s="1"/>
      <c r="O689" s="22"/>
      <c r="P689" s="22"/>
      <c r="Q689" s="22"/>
      <c r="S689" s="1"/>
      <c r="T689" s="22"/>
      <c r="V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4:47" ht="15.75" customHeight="1" x14ac:dyDescent="0.2">
      <c r="D690" s="22"/>
      <c r="L690" s="22"/>
      <c r="N690" s="1"/>
      <c r="O690" s="22"/>
      <c r="P690" s="22"/>
      <c r="Q690" s="22"/>
      <c r="S690" s="1"/>
      <c r="T690" s="22"/>
      <c r="V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4:47" ht="15.75" customHeight="1" x14ac:dyDescent="0.2">
      <c r="D691" s="22"/>
      <c r="L691" s="22"/>
      <c r="N691" s="1"/>
      <c r="O691" s="22"/>
      <c r="P691" s="22"/>
      <c r="Q691" s="22"/>
      <c r="S691" s="1"/>
      <c r="T691" s="22"/>
      <c r="V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4:47" ht="15.75" customHeight="1" x14ac:dyDescent="0.2">
      <c r="D692" s="22"/>
      <c r="L692" s="22"/>
      <c r="N692" s="1"/>
      <c r="O692" s="22"/>
      <c r="P692" s="22"/>
      <c r="Q692" s="22"/>
      <c r="S692" s="1"/>
      <c r="T692" s="22"/>
      <c r="V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4:47" ht="15.75" customHeight="1" x14ac:dyDescent="0.2">
      <c r="D693" s="22"/>
      <c r="L693" s="22"/>
      <c r="N693" s="1"/>
      <c r="O693" s="22"/>
      <c r="P693" s="22"/>
      <c r="Q693" s="22"/>
      <c r="S693" s="1"/>
      <c r="T693" s="22"/>
      <c r="V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4:47" ht="15.75" customHeight="1" x14ac:dyDescent="0.2">
      <c r="D694" s="22"/>
      <c r="L694" s="22"/>
      <c r="N694" s="1"/>
      <c r="O694" s="22"/>
      <c r="P694" s="22"/>
      <c r="Q694" s="22"/>
      <c r="S694" s="1"/>
      <c r="T694" s="22"/>
      <c r="V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4:47" ht="15.75" customHeight="1" x14ac:dyDescent="0.2">
      <c r="D695" s="22"/>
      <c r="L695" s="22"/>
      <c r="N695" s="1"/>
      <c r="O695" s="22"/>
      <c r="P695" s="22"/>
      <c r="Q695" s="22"/>
      <c r="S695" s="1"/>
      <c r="T695" s="22"/>
      <c r="V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4:47" ht="15.75" customHeight="1" x14ac:dyDescent="0.2">
      <c r="D696" s="22"/>
      <c r="L696" s="22"/>
      <c r="N696" s="1"/>
      <c r="O696" s="22"/>
      <c r="P696" s="22"/>
      <c r="Q696" s="22"/>
      <c r="S696" s="1"/>
      <c r="T696" s="22"/>
      <c r="V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4:47" ht="15.75" customHeight="1" x14ac:dyDescent="0.2">
      <c r="D697" s="22"/>
      <c r="L697" s="22"/>
      <c r="N697" s="1"/>
      <c r="O697" s="22"/>
      <c r="P697" s="22"/>
      <c r="Q697" s="22"/>
      <c r="S697" s="1"/>
      <c r="T697" s="22"/>
      <c r="V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4:47" ht="15.75" customHeight="1" x14ac:dyDescent="0.2">
      <c r="D698" s="22"/>
      <c r="L698" s="22"/>
      <c r="N698" s="1"/>
      <c r="O698" s="22"/>
      <c r="P698" s="22"/>
      <c r="Q698" s="22"/>
      <c r="S698" s="1"/>
      <c r="T698" s="22"/>
      <c r="V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4:47" ht="15.75" customHeight="1" x14ac:dyDescent="0.2">
      <c r="D699" s="22"/>
      <c r="L699" s="22"/>
      <c r="N699" s="1"/>
      <c r="O699" s="22"/>
      <c r="P699" s="22"/>
      <c r="Q699" s="22"/>
      <c r="S699" s="1"/>
      <c r="T699" s="22"/>
      <c r="V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4:47" ht="15.75" customHeight="1" x14ac:dyDescent="0.2">
      <c r="D700" s="22"/>
      <c r="L700" s="22"/>
      <c r="N700" s="1"/>
      <c r="O700" s="22"/>
      <c r="P700" s="22"/>
      <c r="Q700" s="22"/>
      <c r="S700" s="1"/>
      <c r="T700" s="22"/>
      <c r="V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4:47" ht="15.75" customHeight="1" x14ac:dyDescent="0.2">
      <c r="D701" s="22"/>
      <c r="L701" s="22"/>
      <c r="N701" s="1"/>
      <c r="O701" s="22"/>
      <c r="P701" s="22"/>
      <c r="Q701" s="22"/>
      <c r="S701" s="1"/>
      <c r="T701" s="22"/>
      <c r="V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4:47" ht="15.75" customHeight="1" x14ac:dyDescent="0.2">
      <c r="D702" s="22"/>
      <c r="L702" s="22"/>
      <c r="N702" s="1"/>
      <c r="O702" s="22"/>
      <c r="P702" s="22"/>
      <c r="Q702" s="22"/>
      <c r="S702" s="1"/>
      <c r="T702" s="22"/>
      <c r="V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4:47" ht="15.75" customHeight="1" x14ac:dyDescent="0.2">
      <c r="D703" s="22"/>
      <c r="L703" s="22"/>
      <c r="N703" s="1"/>
      <c r="O703" s="22"/>
      <c r="P703" s="22"/>
      <c r="Q703" s="22"/>
      <c r="S703" s="1"/>
      <c r="T703" s="22"/>
      <c r="V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4:47" ht="15.75" customHeight="1" x14ac:dyDescent="0.2">
      <c r="D704" s="22"/>
      <c r="L704" s="22"/>
      <c r="N704" s="1"/>
      <c r="O704" s="22"/>
      <c r="P704" s="22"/>
      <c r="Q704" s="22"/>
      <c r="S704" s="1"/>
      <c r="T704" s="22"/>
      <c r="V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4:47" ht="15.75" customHeight="1" x14ac:dyDescent="0.2">
      <c r="D705" s="22"/>
      <c r="L705" s="22"/>
      <c r="N705" s="1"/>
      <c r="O705" s="22"/>
      <c r="P705" s="22"/>
      <c r="Q705" s="22"/>
      <c r="S705" s="1"/>
      <c r="T705" s="22"/>
      <c r="V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4:47" ht="15.75" customHeight="1" x14ac:dyDescent="0.2">
      <c r="D706" s="22"/>
      <c r="L706" s="22"/>
      <c r="N706" s="1"/>
      <c r="O706" s="22"/>
      <c r="P706" s="22"/>
      <c r="Q706" s="22"/>
      <c r="S706" s="1"/>
      <c r="T706" s="22"/>
      <c r="V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4:47" ht="15.75" customHeight="1" x14ac:dyDescent="0.2">
      <c r="D707" s="22"/>
      <c r="L707" s="22"/>
      <c r="N707" s="1"/>
      <c r="O707" s="22"/>
      <c r="P707" s="22"/>
      <c r="Q707" s="22"/>
      <c r="S707" s="1"/>
      <c r="T707" s="22"/>
      <c r="V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4:47" ht="15.75" customHeight="1" x14ac:dyDescent="0.2">
      <c r="D708" s="22"/>
      <c r="L708" s="22"/>
      <c r="N708" s="1"/>
      <c r="O708" s="22"/>
      <c r="P708" s="22"/>
      <c r="Q708" s="22"/>
      <c r="S708" s="1"/>
      <c r="T708" s="22"/>
      <c r="V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4:47" ht="15.75" customHeight="1" x14ac:dyDescent="0.2">
      <c r="D709" s="22"/>
      <c r="L709" s="22"/>
      <c r="N709" s="1"/>
      <c r="O709" s="22"/>
      <c r="P709" s="22"/>
      <c r="Q709" s="22"/>
      <c r="S709" s="1"/>
      <c r="T709" s="22"/>
      <c r="V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4:47" ht="15.75" customHeight="1" x14ac:dyDescent="0.2">
      <c r="D710" s="22"/>
      <c r="L710" s="22"/>
      <c r="N710" s="1"/>
      <c r="O710" s="22"/>
      <c r="P710" s="22"/>
      <c r="Q710" s="22"/>
      <c r="S710" s="1"/>
      <c r="T710" s="22"/>
      <c r="V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4:47" ht="15.75" customHeight="1" x14ac:dyDescent="0.2">
      <c r="D711" s="22"/>
      <c r="L711" s="22"/>
      <c r="N711" s="1"/>
      <c r="O711" s="22"/>
      <c r="P711" s="22"/>
      <c r="Q711" s="22"/>
      <c r="S711" s="1"/>
      <c r="T711" s="22"/>
      <c r="V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4:47" ht="15.75" customHeight="1" x14ac:dyDescent="0.2">
      <c r="D712" s="22"/>
      <c r="L712" s="22"/>
      <c r="N712" s="1"/>
      <c r="O712" s="22"/>
      <c r="P712" s="22"/>
      <c r="Q712" s="22"/>
      <c r="S712" s="1"/>
      <c r="T712" s="22"/>
      <c r="V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4:47" ht="15.75" customHeight="1" x14ac:dyDescent="0.2">
      <c r="D713" s="22"/>
      <c r="L713" s="22"/>
      <c r="N713" s="1"/>
      <c r="O713" s="22"/>
      <c r="P713" s="22"/>
      <c r="Q713" s="22"/>
      <c r="S713" s="1"/>
      <c r="T713" s="22"/>
      <c r="V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4:47" ht="15.75" customHeight="1" x14ac:dyDescent="0.2">
      <c r="D714" s="22"/>
      <c r="L714" s="22"/>
      <c r="N714" s="1"/>
      <c r="O714" s="22"/>
      <c r="P714" s="22"/>
      <c r="Q714" s="22"/>
      <c r="S714" s="1"/>
      <c r="T714" s="22"/>
      <c r="V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4:47" ht="15.75" customHeight="1" x14ac:dyDescent="0.2">
      <c r="D715" s="22"/>
      <c r="L715" s="22"/>
      <c r="N715" s="1"/>
      <c r="O715" s="22"/>
      <c r="P715" s="22"/>
      <c r="Q715" s="22"/>
      <c r="S715" s="1"/>
      <c r="T715" s="22"/>
      <c r="V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4:47" ht="15.75" customHeight="1" x14ac:dyDescent="0.2">
      <c r="D716" s="22"/>
      <c r="L716" s="22"/>
      <c r="N716" s="1"/>
      <c r="O716" s="22"/>
      <c r="P716" s="22"/>
      <c r="Q716" s="22"/>
      <c r="S716" s="1"/>
      <c r="T716" s="22"/>
      <c r="V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4:47" ht="15.75" customHeight="1" x14ac:dyDescent="0.2">
      <c r="D717" s="22"/>
      <c r="L717" s="22"/>
      <c r="N717" s="1"/>
      <c r="O717" s="22"/>
      <c r="P717" s="22"/>
      <c r="Q717" s="22"/>
      <c r="S717" s="1"/>
      <c r="T717" s="22"/>
      <c r="V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4:47" ht="15.75" customHeight="1" x14ac:dyDescent="0.2">
      <c r="D718" s="22"/>
      <c r="L718" s="22"/>
      <c r="N718" s="1"/>
      <c r="O718" s="22"/>
      <c r="P718" s="22"/>
      <c r="Q718" s="22"/>
      <c r="S718" s="1"/>
      <c r="T718" s="22"/>
      <c r="V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4:47" ht="15.75" customHeight="1" x14ac:dyDescent="0.2">
      <c r="D719" s="22"/>
      <c r="L719" s="22"/>
      <c r="N719" s="1"/>
      <c r="O719" s="22"/>
      <c r="P719" s="22"/>
      <c r="Q719" s="22"/>
      <c r="S719" s="1"/>
      <c r="T719" s="22"/>
      <c r="V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4:47" ht="15.75" customHeight="1" x14ac:dyDescent="0.2">
      <c r="D720" s="22"/>
      <c r="L720" s="22"/>
      <c r="N720" s="1"/>
      <c r="O720" s="22"/>
      <c r="P720" s="22"/>
      <c r="Q720" s="22"/>
      <c r="S720" s="1"/>
      <c r="T720" s="22"/>
      <c r="V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4:47" ht="15.75" customHeight="1" x14ac:dyDescent="0.2">
      <c r="D721" s="22"/>
      <c r="L721" s="22"/>
      <c r="N721" s="1"/>
      <c r="O721" s="22"/>
      <c r="P721" s="22"/>
      <c r="Q721" s="22"/>
      <c r="S721" s="1"/>
      <c r="T721" s="22"/>
      <c r="V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4:47" ht="15.75" customHeight="1" x14ac:dyDescent="0.2">
      <c r="D722" s="22"/>
      <c r="L722" s="22"/>
      <c r="N722" s="1"/>
      <c r="O722" s="22"/>
      <c r="P722" s="22"/>
      <c r="Q722" s="22"/>
      <c r="S722" s="1"/>
      <c r="T722" s="22"/>
      <c r="V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4:47" ht="15.75" customHeight="1" x14ac:dyDescent="0.2">
      <c r="D723" s="22"/>
      <c r="L723" s="22"/>
      <c r="N723" s="1"/>
      <c r="O723" s="22"/>
      <c r="P723" s="22"/>
      <c r="Q723" s="22"/>
      <c r="S723" s="1"/>
      <c r="T723" s="22"/>
      <c r="V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4:47" ht="15.75" customHeight="1" x14ac:dyDescent="0.2">
      <c r="D724" s="22"/>
      <c r="L724" s="22"/>
      <c r="N724" s="1"/>
      <c r="O724" s="22"/>
      <c r="P724" s="22"/>
      <c r="Q724" s="22"/>
      <c r="S724" s="1"/>
      <c r="T724" s="22"/>
      <c r="V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4:47" ht="15.75" customHeight="1" x14ac:dyDescent="0.2">
      <c r="D725" s="22"/>
      <c r="L725" s="22"/>
      <c r="N725" s="1"/>
      <c r="O725" s="22"/>
      <c r="P725" s="22"/>
      <c r="Q725" s="22"/>
      <c r="S725" s="1"/>
      <c r="T725" s="22"/>
      <c r="V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4:47" ht="15.75" customHeight="1" x14ac:dyDescent="0.2">
      <c r="D726" s="22"/>
      <c r="L726" s="22"/>
      <c r="N726" s="1"/>
      <c r="O726" s="22"/>
      <c r="P726" s="22"/>
      <c r="Q726" s="22"/>
      <c r="S726" s="1"/>
      <c r="T726" s="22"/>
      <c r="V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4:47" ht="15.75" customHeight="1" x14ac:dyDescent="0.2">
      <c r="D727" s="22"/>
      <c r="L727" s="22"/>
      <c r="N727" s="1"/>
      <c r="O727" s="22"/>
      <c r="P727" s="22"/>
      <c r="Q727" s="22"/>
      <c r="S727" s="1"/>
      <c r="T727" s="22"/>
      <c r="V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4:47" ht="15.75" customHeight="1" x14ac:dyDescent="0.2">
      <c r="D728" s="22"/>
      <c r="L728" s="22"/>
      <c r="N728" s="1"/>
      <c r="O728" s="22"/>
      <c r="P728" s="22"/>
      <c r="Q728" s="22"/>
      <c r="S728" s="1"/>
      <c r="T728" s="22"/>
      <c r="V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4:47" ht="15.75" customHeight="1" x14ac:dyDescent="0.2">
      <c r="D729" s="22"/>
      <c r="L729" s="22"/>
      <c r="N729" s="1"/>
      <c r="O729" s="22"/>
      <c r="P729" s="22"/>
      <c r="Q729" s="22"/>
      <c r="S729" s="1"/>
      <c r="T729" s="22"/>
      <c r="V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4:47" ht="15.75" customHeight="1" x14ac:dyDescent="0.2">
      <c r="D730" s="22"/>
      <c r="L730" s="22"/>
      <c r="N730" s="1"/>
      <c r="O730" s="22"/>
      <c r="P730" s="22"/>
      <c r="Q730" s="22"/>
      <c r="S730" s="1"/>
      <c r="T730" s="22"/>
      <c r="V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4:47" ht="15.75" customHeight="1" x14ac:dyDescent="0.2">
      <c r="D731" s="22"/>
      <c r="L731" s="22"/>
      <c r="N731" s="1"/>
      <c r="O731" s="22"/>
      <c r="P731" s="22"/>
      <c r="Q731" s="22"/>
      <c r="S731" s="1"/>
      <c r="T731" s="22"/>
      <c r="V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4:47" ht="15.75" customHeight="1" x14ac:dyDescent="0.2">
      <c r="D732" s="22"/>
      <c r="L732" s="22"/>
      <c r="N732" s="1"/>
      <c r="O732" s="22"/>
      <c r="P732" s="22"/>
      <c r="Q732" s="22"/>
      <c r="S732" s="1"/>
      <c r="T732" s="22"/>
      <c r="V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4:47" ht="15.75" customHeight="1" x14ac:dyDescent="0.2">
      <c r="D733" s="22"/>
      <c r="L733" s="22"/>
      <c r="N733" s="1"/>
      <c r="O733" s="22"/>
      <c r="P733" s="22"/>
      <c r="Q733" s="22"/>
      <c r="S733" s="1"/>
      <c r="T733" s="22"/>
      <c r="V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4:47" ht="15.75" customHeight="1" x14ac:dyDescent="0.2">
      <c r="D734" s="22"/>
      <c r="L734" s="22"/>
      <c r="N734" s="1"/>
      <c r="O734" s="22"/>
      <c r="P734" s="22"/>
      <c r="Q734" s="22"/>
      <c r="S734" s="1"/>
      <c r="T734" s="22"/>
      <c r="V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4:47" ht="15.75" customHeight="1" x14ac:dyDescent="0.2">
      <c r="D735" s="22"/>
      <c r="L735" s="22"/>
      <c r="N735" s="1"/>
      <c r="O735" s="22"/>
      <c r="P735" s="22"/>
      <c r="Q735" s="22"/>
      <c r="S735" s="1"/>
      <c r="T735" s="22"/>
      <c r="V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4:47" ht="15.75" customHeight="1" x14ac:dyDescent="0.2">
      <c r="D736" s="22"/>
      <c r="L736" s="22"/>
      <c r="N736" s="1"/>
      <c r="O736" s="22"/>
      <c r="P736" s="22"/>
      <c r="Q736" s="22"/>
      <c r="S736" s="1"/>
      <c r="T736" s="22"/>
      <c r="V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4:47" ht="15.75" customHeight="1" x14ac:dyDescent="0.2">
      <c r="D737" s="22"/>
      <c r="L737" s="22"/>
      <c r="N737" s="1"/>
      <c r="O737" s="22"/>
      <c r="P737" s="22"/>
      <c r="Q737" s="22"/>
      <c r="S737" s="1"/>
      <c r="T737" s="22"/>
      <c r="V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4:47" ht="15.75" customHeight="1" x14ac:dyDescent="0.2">
      <c r="D738" s="22"/>
      <c r="L738" s="22"/>
      <c r="N738" s="1"/>
      <c r="O738" s="22"/>
      <c r="P738" s="22"/>
      <c r="Q738" s="22"/>
      <c r="S738" s="1"/>
      <c r="T738" s="22"/>
      <c r="V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4:47" ht="15.75" customHeight="1" x14ac:dyDescent="0.2">
      <c r="D739" s="22"/>
      <c r="L739" s="22"/>
      <c r="N739" s="1"/>
      <c r="O739" s="22"/>
      <c r="P739" s="22"/>
      <c r="Q739" s="22"/>
      <c r="S739" s="1"/>
      <c r="T739" s="22"/>
      <c r="V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4:47" ht="15.75" customHeight="1" x14ac:dyDescent="0.2">
      <c r="D740" s="22"/>
      <c r="L740" s="22"/>
      <c r="N740" s="1"/>
      <c r="O740" s="22"/>
      <c r="P740" s="22"/>
      <c r="Q740" s="22"/>
      <c r="S740" s="1"/>
      <c r="T740" s="22"/>
      <c r="V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4:47" ht="15.75" customHeight="1" x14ac:dyDescent="0.2">
      <c r="D741" s="22"/>
      <c r="L741" s="22"/>
      <c r="N741" s="1"/>
      <c r="O741" s="22"/>
      <c r="P741" s="22"/>
      <c r="Q741" s="22"/>
      <c r="S741" s="1"/>
      <c r="T741" s="22"/>
      <c r="V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4:47" ht="15.75" customHeight="1" x14ac:dyDescent="0.2">
      <c r="D742" s="22"/>
      <c r="L742" s="22"/>
      <c r="N742" s="1"/>
      <c r="O742" s="22"/>
      <c r="P742" s="22"/>
      <c r="Q742" s="22"/>
      <c r="S742" s="1"/>
      <c r="T742" s="22"/>
      <c r="V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4:47" ht="15.75" customHeight="1" x14ac:dyDescent="0.2">
      <c r="D743" s="22"/>
      <c r="L743" s="22"/>
      <c r="N743" s="1"/>
      <c r="O743" s="22"/>
      <c r="P743" s="22"/>
      <c r="Q743" s="22"/>
      <c r="S743" s="1"/>
      <c r="T743" s="22"/>
      <c r="V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4:47" ht="15.75" customHeight="1" x14ac:dyDescent="0.2">
      <c r="D744" s="22"/>
      <c r="L744" s="22"/>
      <c r="N744" s="1"/>
      <c r="O744" s="22"/>
      <c r="P744" s="22"/>
      <c r="Q744" s="22"/>
      <c r="S744" s="1"/>
      <c r="T744" s="22"/>
      <c r="V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4:47" ht="15.75" customHeight="1" x14ac:dyDescent="0.2">
      <c r="D745" s="22"/>
      <c r="L745" s="22"/>
      <c r="N745" s="1"/>
      <c r="O745" s="22"/>
      <c r="P745" s="22"/>
      <c r="Q745" s="22"/>
      <c r="S745" s="1"/>
      <c r="T745" s="22"/>
      <c r="V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4:47" ht="15.75" customHeight="1" x14ac:dyDescent="0.2">
      <c r="D746" s="22"/>
      <c r="L746" s="22"/>
      <c r="N746" s="1"/>
      <c r="O746" s="22"/>
      <c r="P746" s="22"/>
      <c r="Q746" s="22"/>
      <c r="S746" s="1"/>
      <c r="T746" s="22"/>
      <c r="V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4:47" ht="15.75" customHeight="1" x14ac:dyDescent="0.2">
      <c r="D747" s="22"/>
      <c r="L747" s="22"/>
      <c r="N747" s="1"/>
      <c r="O747" s="22"/>
      <c r="P747" s="22"/>
      <c r="Q747" s="22"/>
      <c r="S747" s="1"/>
      <c r="T747" s="22"/>
      <c r="V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4:47" ht="15.75" customHeight="1" x14ac:dyDescent="0.2">
      <c r="D748" s="22"/>
      <c r="L748" s="22"/>
      <c r="N748" s="1"/>
      <c r="O748" s="22"/>
      <c r="P748" s="22"/>
      <c r="Q748" s="22"/>
      <c r="S748" s="1"/>
      <c r="T748" s="22"/>
      <c r="V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4:47" ht="15.75" customHeight="1" x14ac:dyDescent="0.2">
      <c r="D749" s="22"/>
      <c r="L749" s="22"/>
      <c r="N749" s="1"/>
      <c r="O749" s="22"/>
      <c r="P749" s="22"/>
      <c r="Q749" s="22"/>
      <c r="S749" s="1"/>
      <c r="T749" s="22"/>
      <c r="V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4:47" ht="15.75" customHeight="1" x14ac:dyDescent="0.2">
      <c r="D750" s="22"/>
      <c r="L750" s="22"/>
      <c r="N750" s="1"/>
      <c r="O750" s="22"/>
      <c r="P750" s="22"/>
      <c r="Q750" s="22"/>
      <c r="S750" s="1"/>
      <c r="T750" s="22"/>
      <c r="V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4:47" ht="15.75" customHeight="1" x14ac:dyDescent="0.2">
      <c r="D751" s="22"/>
      <c r="L751" s="22"/>
      <c r="N751" s="1"/>
      <c r="O751" s="22"/>
      <c r="P751" s="22"/>
      <c r="Q751" s="22"/>
      <c r="S751" s="1"/>
      <c r="T751" s="22"/>
      <c r="V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4:47" ht="15.75" customHeight="1" x14ac:dyDescent="0.2">
      <c r="D752" s="22"/>
      <c r="L752" s="22"/>
      <c r="N752" s="1"/>
      <c r="O752" s="22"/>
      <c r="P752" s="22"/>
      <c r="Q752" s="22"/>
      <c r="S752" s="1"/>
      <c r="T752" s="22"/>
      <c r="V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4:47" ht="15.75" customHeight="1" x14ac:dyDescent="0.2">
      <c r="D753" s="22"/>
      <c r="L753" s="22"/>
      <c r="N753" s="1"/>
      <c r="O753" s="22"/>
      <c r="P753" s="22"/>
      <c r="Q753" s="22"/>
      <c r="S753" s="1"/>
      <c r="T753" s="22"/>
      <c r="V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4:47" ht="15.75" customHeight="1" x14ac:dyDescent="0.2">
      <c r="D754" s="22"/>
      <c r="L754" s="22"/>
      <c r="N754" s="1"/>
      <c r="O754" s="22"/>
      <c r="P754" s="22"/>
      <c r="Q754" s="22"/>
      <c r="S754" s="1"/>
      <c r="T754" s="22"/>
      <c r="V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4:47" ht="15.75" customHeight="1" x14ac:dyDescent="0.2">
      <c r="D755" s="22"/>
      <c r="L755" s="22"/>
      <c r="N755" s="1"/>
      <c r="O755" s="22"/>
      <c r="P755" s="22"/>
      <c r="Q755" s="22"/>
      <c r="S755" s="1"/>
      <c r="T755" s="22"/>
      <c r="V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4:47" ht="15.75" customHeight="1" x14ac:dyDescent="0.2">
      <c r="D756" s="22"/>
      <c r="L756" s="22"/>
      <c r="N756" s="1"/>
      <c r="O756" s="22"/>
      <c r="P756" s="22"/>
      <c r="Q756" s="22"/>
      <c r="S756" s="1"/>
      <c r="T756" s="22"/>
      <c r="V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4:47" ht="15.75" customHeight="1" x14ac:dyDescent="0.2">
      <c r="D757" s="22"/>
      <c r="L757" s="22"/>
      <c r="N757" s="1"/>
      <c r="O757" s="22"/>
      <c r="P757" s="22"/>
      <c r="Q757" s="22"/>
      <c r="S757" s="1"/>
      <c r="T757" s="22"/>
      <c r="V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4:47" ht="15.75" customHeight="1" x14ac:dyDescent="0.2">
      <c r="D758" s="22"/>
      <c r="L758" s="22"/>
      <c r="N758" s="1"/>
      <c r="O758" s="22"/>
      <c r="P758" s="22"/>
      <c r="Q758" s="22"/>
      <c r="S758" s="1"/>
      <c r="T758" s="22"/>
      <c r="V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4:47" ht="15.75" customHeight="1" x14ac:dyDescent="0.2">
      <c r="D759" s="22"/>
      <c r="L759" s="22"/>
      <c r="N759" s="1"/>
      <c r="O759" s="22"/>
      <c r="P759" s="22"/>
      <c r="Q759" s="22"/>
      <c r="S759" s="1"/>
      <c r="T759" s="22"/>
      <c r="V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4:47" ht="15.75" customHeight="1" x14ac:dyDescent="0.2">
      <c r="D760" s="22"/>
      <c r="L760" s="22"/>
      <c r="N760" s="1"/>
      <c r="O760" s="22"/>
      <c r="P760" s="22"/>
      <c r="Q760" s="22"/>
      <c r="S760" s="1"/>
      <c r="T760" s="22"/>
      <c r="V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4:47" ht="15.75" customHeight="1" x14ac:dyDescent="0.2">
      <c r="D761" s="22"/>
      <c r="L761" s="22"/>
      <c r="N761" s="1"/>
      <c r="O761" s="22"/>
      <c r="P761" s="22"/>
      <c r="Q761" s="22"/>
      <c r="S761" s="1"/>
      <c r="T761" s="22"/>
      <c r="V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4:47" ht="15.75" customHeight="1" x14ac:dyDescent="0.2">
      <c r="D762" s="22"/>
      <c r="L762" s="22"/>
      <c r="N762" s="1"/>
      <c r="O762" s="22"/>
      <c r="P762" s="22"/>
      <c r="Q762" s="22"/>
      <c r="S762" s="1"/>
      <c r="T762" s="22"/>
      <c r="V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4:47" ht="15.75" customHeight="1" x14ac:dyDescent="0.2">
      <c r="D763" s="22"/>
      <c r="L763" s="22"/>
      <c r="N763" s="1"/>
      <c r="O763" s="22"/>
      <c r="P763" s="22"/>
      <c r="Q763" s="22"/>
      <c r="S763" s="1"/>
      <c r="T763" s="22"/>
      <c r="V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4:47" ht="15.75" customHeight="1" x14ac:dyDescent="0.2">
      <c r="D764" s="22"/>
      <c r="L764" s="22"/>
      <c r="N764" s="1"/>
      <c r="O764" s="22"/>
      <c r="P764" s="22"/>
      <c r="Q764" s="22"/>
      <c r="S764" s="1"/>
      <c r="T764" s="22"/>
      <c r="V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4:47" ht="15.75" customHeight="1" x14ac:dyDescent="0.2">
      <c r="D765" s="22"/>
      <c r="L765" s="22"/>
      <c r="N765" s="1"/>
      <c r="O765" s="22"/>
      <c r="P765" s="22"/>
      <c r="Q765" s="22"/>
      <c r="S765" s="1"/>
      <c r="T765" s="22"/>
      <c r="V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4:47" ht="15.75" customHeight="1" x14ac:dyDescent="0.2">
      <c r="D766" s="22"/>
      <c r="L766" s="22"/>
      <c r="N766" s="1"/>
      <c r="O766" s="22"/>
      <c r="P766" s="22"/>
      <c r="Q766" s="22"/>
      <c r="S766" s="1"/>
      <c r="T766" s="22"/>
      <c r="V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4:47" ht="15.75" customHeight="1" x14ac:dyDescent="0.2">
      <c r="D767" s="22"/>
      <c r="L767" s="22"/>
      <c r="N767" s="1"/>
      <c r="O767" s="22"/>
      <c r="P767" s="22"/>
      <c r="Q767" s="22"/>
      <c r="S767" s="1"/>
      <c r="T767" s="22"/>
      <c r="V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4:47" ht="15.75" customHeight="1" x14ac:dyDescent="0.2">
      <c r="D768" s="22"/>
      <c r="L768" s="22"/>
      <c r="N768" s="1"/>
      <c r="O768" s="22"/>
      <c r="P768" s="22"/>
      <c r="Q768" s="22"/>
      <c r="S768" s="1"/>
      <c r="T768" s="22"/>
      <c r="V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4:47" ht="15.75" customHeight="1" x14ac:dyDescent="0.2">
      <c r="D769" s="22"/>
      <c r="L769" s="22"/>
      <c r="N769" s="1"/>
      <c r="O769" s="22"/>
      <c r="P769" s="22"/>
      <c r="Q769" s="22"/>
      <c r="S769" s="1"/>
      <c r="T769" s="22"/>
      <c r="V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4:47" ht="15.75" customHeight="1" x14ac:dyDescent="0.2">
      <c r="D770" s="22"/>
      <c r="L770" s="22"/>
      <c r="N770" s="1"/>
      <c r="O770" s="22"/>
      <c r="P770" s="22"/>
      <c r="Q770" s="22"/>
      <c r="S770" s="1"/>
      <c r="T770" s="22"/>
      <c r="V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4:47" ht="15.75" customHeight="1" x14ac:dyDescent="0.2">
      <c r="D771" s="22"/>
      <c r="L771" s="22"/>
      <c r="N771" s="1"/>
      <c r="O771" s="22"/>
      <c r="P771" s="22"/>
      <c r="Q771" s="22"/>
      <c r="S771" s="1"/>
      <c r="T771" s="22"/>
      <c r="V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4:47" ht="15.75" customHeight="1" x14ac:dyDescent="0.2">
      <c r="D772" s="22"/>
      <c r="L772" s="22"/>
      <c r="N772" s="1"/>
      <c r="O772" s="22"/>
      <c r="P772" s="22"/>
      <c r="Q772" s="22"/>
      <c r="S772" s="1"/>
      <c r="T772" s="22"/>
      <c r="V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4:47" ht="15.75" customHeight="1" x14ac:dyDescent="0.2">
      <c r="D773" s="22"/>
      <c r="L773" s="22"/>
      <c r="N773" s="1"/>
      <c r="O773" s="22"/>
      <c r="P773" s="22"/>
      <c r="Q773" s="22"/>
      <c r="S773" s="1"/>
      <c r="T773" s="22"/>
      <c r="V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4:47" ht="15.75" customHeight="1" x14ac:dyDescent="0.2">
      <c r="D774" s="22"/>
      <c r="L774" s="22"/>
      <c r="N774" s="1"/>
      <c r="O774" s="22"/>
      <c r="P774" s="22"/>
      <c r="Q774" s="22"/>
      <c r="S774" s="1"/>
      <c r="T774" s="22"/>
      <c r="V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4:47" ht="15.75" customHeight="1" x14ac:dyDescent="0.2">
      <c r="D775" s="22"/>
      <c r="L775" s="22"/>
      <c r="N775" s="1"/>
      <c r="O775" s="22"/>
      <c r="P775" s="22"/>
      <c r="Q775" s="22"/>
      <c r="S775" s="1"/>
      <c r="T775" s="22"/>
      <c r="V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4:47" ht="15.75" customHeight="1" x14ac:dyDescent="0.2">
      <c r="D776" s="22"/>
      <c r="L776" s="22"/>
      <c r="N776" s="1"/>
      <c r="O776" s="22"/>
      <c r="P776" s="22"/>
      <c r="Q776" s="22"/>
      <c r="S776" s="1"/>
      <c r="T776" s="22"/>
      <c r="V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4:47" ht="15.75" customHeight="1" x14ac:dyDescent="0.2">
      <c r="D777" s="22"/>
      <c r="L777" s="22"/>
      <c r="N777" s="1"/>
      <c r="O777" s="22"/>
      <c r="P777" s="22"/>
      <c r="Q777" s="22"/>
      <c r="S777" s="1"/>
      <c r="T777" s="22"/>
      <c r="V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4:47" ht="15.75" customHeight="1" x14ac:dyDescent="0.2">
      <c r="D778" s="22"/>
      <c r="L778" s="22"/>
      <c r="N778" s="1"/>
      <c r="O778" s="22"/>
      <c r="P778" s="22"/>
      <c r="Q778" s="22"/>
      <c r="S778" s="1"/>
      <c r="T778" s="22"/>
      <c r="V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4:47" ht="15.75" customHeight="1" x14ac:dyDescent="0.2">
      <c r="D779" s="22"/>
      <c r="L779" s="22"/>
      <c r="N779" s="1"/>
      <c r="O779" s="22"/>
      <c r="P779" s="22"/>
      <c r="Q779" s="22"/>
      <c r="S779" s="1"/>
      <c r="T779" s="22"/>
      <c r="V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4:47" ht="15.75" customHeight="1" x14ac:dyDescent="0.2">
      <c r="D780" s="22"/>
      <c r="L780" s="22"/>
      <c r="N780" s="1"/>
      <c r="O780" s="22"/>
      <c r="P780" s="22"/>
      <c r="Q780" s="22"/>
      <c r="S780" s="1"/>
      <c r="T780" s="22"/>
      <c r="V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4:47" ht="15.75" customHeight="1" x14ac:dyDescent="0.2">
      <c r="D781" s="22"/>
      <c r="L781" s="22"/>
      <c r="N781" s="1"/>
      <c r="O781" s="22"/>
      <c r="P781" s="22"/>
      <c r="Q781" s="22"/>
      <c r="S781" s="1"/>
      <c r="T781" s="22"/>
      <c r="V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4:47" ht="15.75" customHeight="1" x14ac:dyDescent="0.2">
      <c r="D782" s="22"/>
      <c r="L782" s="22"/>
      <c r="N782" s="1"/>
      <c r="O782" s="22"/>
      <c r="P782" s="22"/>
      <c r="Q782" s="22"/>
      <c r="S782" s="1"/>
      <c r="T782" s="22"/>
      <c r="V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4:47" ht="15.75" customHeight="1" x14ac:dyDescent="0.2">
      <c r="D783" s="22"/>
      <c r="L783" s="22"/>
      <c r="N783" s="1"/>
      <c r="O783" s="22"/>
      <c r="P783" s="22"/>
      <c r="Q783" s="22"/>
      <c r="S783" s="1"/>
      <c r="T783" s="22"/>
      <c r="V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4:47" ht="15.75" customHeight="1" x14ac:dyDescent="0.2">
      <c r="D784" s="22"/>
      <c r="L784" s="22"/>
      <c r="N784" s="1"/>
      <c r="O784" s="22"/>
      <c r="P784" s="22"/>
      <c r="Q784" s="22"/>
      <c r="S784" s="1"/>
      <c r="T784" s="22"/>
      <c r="V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4:47" ht="15.75" customHeight="1" x14ac:dyDescent="0.2">
      <c r="D785" s="22"/>
      <c r="L785" s="22"/>
      <c r="N785" s="1"/>
      <c r="O785" s="22"/>
      <c r="P785" s="22"/>
      <c r="Q785" s="22"/>
      <c r="S785" s="1"/>
      <c r="T785" s="22"/>
      <c r="V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4:47" ht="15.75" customHeight="1" x14ac:dyDescent="0.2">
      <c r="D786" s="22"/>
      <c r="L786" s="22"/>
      <c r="N786" s="1"/>
      <c r="O786" s="22"/>
      <c r="P786" s="22"/>
      <c r="Q786" s="22"/>
      <c r="S786" s="1"/>
      <c r="T786" s="22"/>
      <c r="V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4:47" ht="15.75" customHeight="1" x14ac:dyDescent="0.2">
      <c r="D787" s="22"/>
      <c r="L787" s="22"/>
      <c r="N787" s="1"/>
      <c r="O787" s="22"/>
      <c r="P787" s="22"/>
      <c r="Q787" s="22"/>
      <c r="S787" s="1"/>
      <c r="T787" s="22"/>
      <c r="V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4:47" ht="15.75" customHeight="1" x14ac:dyDescent="0.2">
      <c r="D788" s="22"/>
      <c r="L788" s="22"/>
      <c r="N788" s="1"/>
      <c r="O788" s="22"/>
      <c r="P788" s="22"/>
      <c r="Q788" s="22"/>
      <c r="S788" s="1"/>
      <c r="T788" s="22"/>
      <c r="V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4:47" ht="15.75" customHeight="1" x14ac:dyDescent="0.2">
      <c r="D789" s="22"/>
      <c r="L789" s="22"/>
      <c r="N789" s="1"/>
      <c r="O789" s="22"/>
      <c r="P789" s="22"/>
      <c r="Q789" s="22"/>
      <c r="S789" s="1"/>
      <c r="T789" s="22"/>
      <c r="V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4:47" ht="15.75" customHeight="1" x14ac:dyDescent="0.2">
      <c r="D790" s="22"/>
      <c r="L790" s="22"/>
      <c r="N790" s="1"/>
      <c r="O790" s="22"/>
      <c r="P790" s="22"/>
      <c r="Q790" s="22"/>
      <c r="S790" s="1"/>
      <c r="T790" s="22"/>
      <c r="V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4:47" ht="15.75" customHeight="1" x14ac:dyDescent="0.2">
      <c r="D791" s="22"/>
      <c r="L791" s="22"/>
      <c r="N791" s="1"/>
      <c r="O791" s="22"/>
      <c r="P791" s="22"/>
      <c r="Q791" s="22"/>
      <c r="S791" s="1"/>
      <c r="T791" s="22"/>
      <c r="V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4:47" ht="15.75" customHeight="1" x14ac:dyDescent="0.2">
      <c r="D792" s="22"/>
      <c r="L792" s="22"/>
      <c r="N792" s="1"/>
      <c r="O792" s="22"/>
      <c r="P792" s="22"/>
      <c r="Q792" s="22"/>
      <c r="S792" s="1"/>
      <c r="T792" s="22"/>
      <c r="V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4:47" ht="15.75" customHeight="1" x14ac:dyDescent="0.2">
      <c r="D793" s="22"/>
      <c r="L793" s="22"/>
      <c r="N793" s="1"/>
      <c r="O793" s="22"/>
      <c r="P793" s="22"/>
      <c r="Q793" s="22"/>
      <c r="S793" s="1"/>
      <c r="T793" s="22"/>
      <c r="V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4:47" ht="15.75" customHeight="1" x14ac:dyDescent="0.2">
      <c r="D794" s="22"/>
      <c r="L794" s="22"/>
      <c r="N794" s="1"/>
      <c r="O794" s="22"/>
      <c r="P794" s="22"/>
      <c r="Q794" s="22"/>
      <c r="S794" s="1"/>
      <c r="T794" s="22"/>
      <c r="V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4:47" ht="15.75" customHeight="1" x14ac:dyDescent="0.2">
      <c r="D795" s="22"/>
      <c r="L795" s="22"/>
      <c r="N795" s="1"/>
      <c r="O795" s="22"/>
      <c r="P795" s="22"/>
      <c r="Q795" s="22"/>
      <c r="S795" s="1"/>
      <c r="T795" s="22"/>
      <c r="V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4:47" ht="15.75" customHeight="1" x14ac:dyDescent="0.2">
      <c r="D796" s="22"/>
      <c r="L796" s="22"/>
      <c r="N796" s="1"/>
      <c r="O796" s="22"/>
      <c r="P796" s="22"/>
      <c r="Q796" s="22"/>
      <c r="S796" s="1"/>
      <c r="T796" s="22"/>
      <c r="V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4:47" ht="15.75" customHeight="1" x14ac:dyDescent="0.2">
      <c r="D797" s="22"/>
      <c r="L797" s="22"/>
      <c r="N797" s="1"/>
      <c r="O797" s="22"/>
      <c r="P797" s="22"/>
      <c r="Q797" s="22"/>
      <c r="S797" s="1"/>
      <c r="T797" s="22"/>
      <c r="V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4:47" ht="15.75" customHeight="1" x14ac:dyDescent="0.2">
      <c r="D798" s="22"/>
      <c r="L798" s="22"/>
      <c r="N798" s="1"/>
      <c r="O798" s="22"/>
      <c r="P798" s="22"/>
      <c r="Q798" s="22"/>
      <c r="S798" s="1"/>
      <c r="T798" s="22"/>
      <c r="V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4:47" ht="15.75" customHeight="1" x14ac:dyDescent="0.2">
      <c r="D799" s="22"/>
      <c r="L799" s="22"/>
      <c r="N799" s="1"/>
      <c r="O799" s="22"/>
      <c r="P799" s="22"/>
      <c r="Q799" s="22"/>
      <c r="S799" s="1"/>
      <c r="T799" s="22"/>
      <c r="V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4:47" ht="15.75" customHeight="1" x14ac:dyDescent="0.2">
      <c r="D800" s="22"/>
      <c r="L800" s="22"/>
      <c r="N800" s="1"/>
      <c r="O800" s="22"/>
      <c r="P800" s="22"/>
      <c r="Q800" s="22"/>
      <c r="S800" s="1"/>
      <c r="T800" s="22"/>
      <c r="V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4:47" ht="15.75" customHeight="1" x14ac:dyDescent="0.2">
      <c r="D801" s="22"/>
      <c r="L801" s="22"/>
      <c r="N801" s="1"/>
      <c r="O801" s="22"/>
      <c r="P801" s="22"/>
      <c r="Q801" s="22"/>
      <c r="S801" s="1"/>
      <c r="T801" s="22"/>
      <c r="V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4:47" ht="15.75" customHeight="1" x14ac:dyDescent="0.2">
      <c r="D802" s="22"/>
      <c r="L802" s="22"/>
      <c r="N802" s="1"/>
      <c r="O802" s="22"/>
      <c r="P802" s="22"/>
      <c r="Q802" s="22"/>
      <c r="S802" s="1"/>
      <c r="T802" s="22"/>
      <c r="V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4:47" ht="15.75" customHeight="1" x14ac:dyDescent="0.2">
      <c r="D803" s="22"/>
      <c r="L803" s="22"/>
      <c r="N803" s="1"/>
      <c r="O803" s="22"/>
      <c r="P803" s="22"/>
      <c r="Q803" s="22"/>
      <c r="S803" s="1"/>
      <c r="T803" s="22"/>
      <c r="V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4:47" ht="15.75" customHeight="1" x14ac:dyDescent="0.2">
      <c r="D804" s="22"/>
      <c r="L804" s="22"/>
      <c r="N804" s="1"/>
      <c r="O804" s="22"/>
      <c r="P804" s="22"/>
      <c r="Q804" s="22"/>
      <c r="S804" s="1"/>
      <c r="T804" s="22"/>
      <c r="V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4:47" ht="15.75" customHeight="1" x14ac:dyDescent="0.2">
      <c r="D805" s="22"/>
      <c r="L805" s="22"/>
      <c r="N805" s="1"/>
      <c r="O805" s="22"/>
      <c r="P805" s="22"/>
      <c r="Q805" s="22"/>
      <c r="S805" s="1"/>
      <c r="T805" s="22"/>
      <c r="V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4:47" ht="15.75" customHeight="1" x14ac:dyDescent="0.2">
      <c r="D806" s="22"/>
      <c r="L806" s="22"/>
      <c r="N806" s="1"/>
      <c r="O806" s="22"/>
      <c r="P806" s="22"/>
      <c r="Q806" s="22"/>
      <c r="S806" s="1"/>
      <c r="T806" s="22"/>
      <c r="V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4:47" ht="15.75" customHeight="1" x14ac:dyDescent="0.2">
      <c r="D807" s="22"/>
      <c r="L807" s="22"/>
      <c r="N807" s="1"/>
      <c r="O807" s="22"/>
      <c r="P807" s="22"/>
      <c r="Q807" s="22"/>
      <c r="S807" s="1"/>
      <c r="T807" s="22"/>
      <c r="V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4:47" ht="15.75" customHeight="1" x14ac:dyDescent="0.2">
      <c r="D808" s="22"/>
      <c r="L808" s="22"/>
      <c r="N808" s="1"/>
      <c r="O808" s="22"/>
      <c r="P808" s="22"/>
      <c r="Q808" s="22"/>
      <c r="S808" s="1"/>
      <c r="T808" s="22"/>
      <c r="V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4:47" ht="15.75" customHeight="1" x14ac:dyDescent="0.2">
      <c r="D809" s="22"/>
      <c r="L809" s="22"/>
      <c r="N809" s="1"/>
      <c r="O809" s="22"/>
      <c r="P809" s="22"/>
      <c r="Q809" s="22"/>
      <c r="S809" s="1"/>
      <c r="T809" s="22"/>
      <c r="V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4:47" ht="15.75" customHeight="1" x14ac:dyDescent="0.2">
      <c r="D810" s="22"/>
      <c r="L810" s="22"/>
      <c r="N810" s="1"/>
      <c r="O810" s="22"/>
      <c r="P810" s="22"/>
      <c r="Q810" s="22"/>
      <c r="S810" s="1"/>
      <c r="T810" s="22"/>
      <c r="V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4:47" ht="15.75" customHeight="1" x14ac:dyDescent="0.2">
      <c r="D811" s="22"/>
      <c r="L811" s="22"/>
      <c r="N811" s="1"/>
      <c r="O811" s="22"/>
      <c r="P811" s="22"/>
      <c r="Q811" s="22"/>
      <c r="S811" s="1"/>
      <c r="T811" s="22"/>
      <c r="V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4:47" ht="15.75" customHeight="1" x14ac:dyDescent="0.2">
      <c r="D812" s="22"/>
      <c r="L812" s="22"/>
      <c r="N812" s="1"/>
      <c r="O812" s="22"/>
      <c r="P812" s="22"/>
      <c r="Q812" s="22"/>
      <c r="S812" s="1"/>
      <c r="T812" s="22"/>
      <c r="V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4:47" ht="15.75" customHeight="1" x14ac:dyDescent="0.2">
      <c r="D813" s="22"/>
      <c r="L813" s="22"/>
      <c r="N813" s="1"/>
      <c r="O813" s="22"/>
      <c r="P813" s="22"/>
      <c r="Q813" s="22"/>
      <c r="S813" s="1"/>
      <c r="T813" s="22"/>
      <c r="V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4:47" ht="15.75" customHeight="1" x14ac:dyDescent="0.2">
      <c r="D814" s="22"/>
      <c r="L814" s="22"/>
      <c r="N814" s="1"/>
      <c r="O814" s="22"/>
      <c r="P814" s="22"/>
      <c r="Q814" s="22"/>
      <c r="S814" s="1"/>
      <c r="T814" s="22"/>
      <c r="V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4:47" ht="15.75" customHeight="1" x14ac:dyDescent="0.2">
      <c r="D815" s="22"/>
      <c r="L815" s="22"/>
      <c r="N815" s="1"/>
      <c r="O815" s="22"/>
      <c r="P815" s="22"/>
      <c r="Q815" s="22"/>
      <c r="S815" s="1"/>
      <c r="T815" s="22"/>
      <c r="V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4:47" ht="15.75" customHeight="1" x14ac:dyDescent="0.2">
      <c r="D816" s="22"/>
      <c r="L816" s="22"/>
      <c r="N816" s="1"/>
      <c r="O816" s="22"/>
      <c r="P816" s="22"/>
      <c r="Q816" s="22"/>
      <c r="S816" s="1"/>
      <c r="T816" s="22"/>
      <c r="V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4:47" ht="15.75" customHeight="1" x14ac:dyDescent="0.2">
      <c r="D817" s="22"/>
      <c r="L817" s="22"/>
      <c r="N817" s="1"/>
      <c r="O817" s="22"/>
      <c r="P817" s="22"/>
      <c r="Q817" s="22"/>
      <c r="S817" s="1"/>
      <c r="T817" s="22"/>
      <c r="V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4:47" ht="15.75" customHeight="1" x14ac:dyDescent="0.2">
      <c r="D818" s="22"/>
      <c r="L818" s="22"/>
      <c r="N818" s="1"/>
      <c r="O818" s="22"/>
      <c r="P818" s="22"/>
      <c r="Q818" s="22"/>
      <c r="S818" s="1"/>
      <c r="T818" s="22"/>
      <c r="V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4:47" ht="15.75" customHeight="1" x14ac:dyDescent="0.2">
      <c r="D819" s="22"/>
      <c r="L819" s="22"/>
      <c r="N819" s="1"/>
      <c r="O819" s="22"/>
      <c r="P819" s="22"/>
      <c r="Q819" s="22"/>
      <c r="S819" s="1"/>
      <c r="T819" s="22"/>
      <c r="V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4:47" ht="15.75" customHeight="1" x14ac:dyDescent="0.2">
      <c r="D820" s="22"/>
      <c r="L820" s="22"/>
      <c r="N820" s="1"/>
      <c r="O820" s="22"/>
      <c r="P820" s="22"/>
      <c r="Q820" s="22"/>
      <c r="S820" s="1"/>
      <c r="T820" s="22"/>
      <c r="V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4:47" ht="15.75" customHeight="1" x14ac:dyDescent="0.2">
      <c r="D821" s="22"/>
      <c r="L821" s="22"/>
      <c r="N821" s="1"/>
      <c r="O821" s="22"/>
      <c r="P821" s="22"/>
      <c r="Q821" s="22"/>
      <c r="S821" s="1"/>
      <c r="T821" s="22"/>
      <c r="V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4:47" ht="15.75" customHeight="1" x14ac:dyDescent="0.2">
      <c r="D822" s="22"/>
      <c r="L822" s="22"/>
      <c r="N822" s="1"/>
      <c r="O822" s="22"/>
      <c r="P822" s="22"/>
      <c r="Q822" s="22"/>
      <c r="S822" s="1"/>
      <c r="T822" s="22"/>
      <c r="V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4:47" ht="15.75" customHeight="1" x14ac:dyDescent="0.2">
      <c r="D823" s="22"/>
      <c r="L823" s="22"/>
      <c r="N823" s="1"/>
      <c r="O823" s="22"/>
      <c r="P823" s="22"/>
      <c r="Q823" s="22"/>
      <c r="S823" s="1"/>
      <c r="T823" s="22"/>
      <c r="V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4:47" ht="15.75" customHeight="1" x14ac:dyDescent="0.2">
      <c r="D824" s="22"/>
      <c r="L824" s="22"/>
      <c r="N824" s="1"/>
      <c r="O824" s="22"/>
      <c r="P824" s="22"/>
      <c r="Q824" s="22"/>
      <c r="S824" s="1"/>
      <c r="T824" s="22"/>
      <c r="V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4:47" ht="15.75" customHeight="1" x14ac:dyDescent="0.2">
      <c r="D825" s="22"/>
      <c r="L825" s="22"/>
      <c r="N825" s="1"/>
      <c r="O825" s="22"/>
      <c r="P825" s="22"/>
      <c r="Q825" s="22"/>
      <c r="S825" s="1"/>
      <c r="T825" s="22"/>
      <c r="V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4:47" ht="15.75" customHeight="1" x14ac:dyDescent="0.2">
      <c r="D826" s="22"/>
      <c r="L826" s="22"/>
      <c r="N826" s="1"/>
      <c r="O826" s="22"/>
      <c r="P826" s="22"/>
      <c r="Q826" s="22"/>
      <c r="S826" s="1"/>
      <c r="T826" s="22"/>
      <c r="V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4:47" ht="15.75" customHeight="1" x14ac:dyDescent="0.2">
      <c r="D827" s="22"/>
      <c r="L827" s="22"/>
      <c r="N827" s="1"/>
      <c r="O827" s="22"/>
      <c r="P827" s="22"/>
      <c r="Q827" s="22"/>
      <c r="S827" s="1"/>
      <c r="T827" s="22"/>
      <c r="V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4:47" ht="15.75" customHeight="1" x14ac:dyDescent="0.2">
      <c r="D828" s="22"/>
      <c r="L828" s="22"/>
      <c r="N828" s="1"/>
      <c r="O828" s="22"/>
      <c r="P828" s="22"/>
      <c r="Q828" s="22"/>
      <c r="S828" s="1"/>
      <c r="T828" s="22"/>
      <c r="V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4:47" ht="15.75" customHeight="1" x14ac:dyDescent="0.2">
      <c r="D829" s="22"/>
      <c r="L829" s="22"/>
      <c r="N829" s="1"/>
      <c r="O829" s="22"/>
      <c r="P829" s="22"/>
      <c r="Q829" s="22"/>
      <c r="S829" s="1"/>
      <c r="T829" s="22"/>
      <c r="V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4:47" ht="15.75" customHeight="1" x14ac:dyDescent="0.2">
      <c r="D830" s="22"/>
      <c r="L830" s="22"/>
      <c r="N830" s="1"/>
      <c r="O830" s="22"/>
      <c r="P830" s="22"/>
      <c r="Q830" s="22"/>
      <c r="S830" s="1"/>
      <c r="T830" s="22"/>
      <c r="V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4:47" ht="15.75" customHeight="1" x14ac:dyDescent="0.2">
      <c r="D831" s="22"/>
      <c r="L831" s="22"/>
      <c r="N831" s="1"/>
      <c r="O831" s="22"/>
      <c r="P831" s="22"/>
      <c r="Q831" s="22"/>
      <c r="S831" s="1"/>
      <c r="T831" s="22"/>
      <c r="V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4:47" ht="15.75" customHeight="1" x14ac:dyDescent="0.2">
      <c r="D832" s="22"/>
      <c r="L832" s="22"/>
      <c r="N832" s="1"/>
      <c r="O832" s="22"/>
      <c r="P832" s="22"/>
      <c r="Q832" s="22"/>
      <c r="S832" s="1"/>
      <c r="T832" s="22"/>
      <c r="V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4:47" ht="15.75" customHeight="1" x14ac:dyDescent="0.2">
      <c r="D833" s="22"/>
      <c r="L833" s="22"/>
      <c r="N833" s="1"/>
      <c r="O833" s="22"/>
      <c r="P833" s="22"/>
      <c r="Q833" s="22"/>
      <c r="S833" s="1"/>
      <c r="T833" s="22"/>
      <c r="V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4:47" ht="15.75" customHeight="1" x14ac:dyDescent="0.2">
      <c r="D834" s="22"/>
      <c r="L834" s="22"/>
      <c r="N834" s="1"/>
      <c r="O834" s="22"/>
      <c r="P834" s="22"/>
      <c r="Q834" s="22"/>
      <c r="S834" s="1"/>
      <c r="T834" s="22"/>
      <c r="V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4:47" ht="15.75" customHeight="1" x14ac:dyDescent="0.2">
      <c r="D835" s="22"/>
      <c r="L835" s="22"/>
      <c r="N835" s="1"/>
      <c r="O835" s="22"/>
      <c r="P835" s="22"/>
      <c r="Q835" s="22"/>
      <c r="S835" s="1"/>
      <c r="T835" s="22"/>
      <c r="V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4:47" ht="15.75" customHeight="1" x14ac:dyDescent="0.2">
      <c r="D836" s="22"/>
      <c r="L836" s="22"/>
      <c r="N836" s="1"/>
      <c r="O836" s="22"/>
      <c r="P836" s="22"/>
      <c r="Q836" s="22"/>
      <c r="S836" s="1"/>
      <c r="T836" s="22"/>
      <c r="V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4:47" ht="15.75" customHeight="1" x14ac:dyDescent="0.2">
      <c r="D837" s="22"/>
      <c r="L837" s="22"/>
      <c r="N837" s="1"/>
      <c r="O837" s="22"/>
      <c r="P837" s="22"/>
      <c r="Q837" s="22"/>
      <c r="S837" s="1"/>
      <c r="T837" s="22"/>
      <c r="V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4:47" ht="15.75" customHeight="1" x14ac:dyDescent="0.2">
      <c r="D838" s="22"/>
      <c r="L838" s="22"/>
      <c r="N838" s="1"/>
      <c r="O838" s="22"/>
      <c r="P838" s="22"/>
      <c r="Q838" s="22"/>
      <c r="S838" s="1"/>
      <c r="T838" s="22"/>
      <c r="V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4:47" ht="15.75" customHeight="1" x14ac:dyDescent="0.2">
      <c r="D839" s="22"/>
      <c r="L839" s="22"/>
      <c r="N839" s="1"/>
      <c r="O839" s="22"/>
      <c r="P839" s="22"/>
      <c r="Q839" s="22"/>
      <c r="S839" s="1"/>
      <c r="T839" s="22"/>
      <c r="V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4:47" ht="15.75" customHeight="1" x14ac:dyDescent="0.2">
      <c r="D840" s="22"/>
      <c r="L840" s="22"/>
      <c r="N840" s="1"/>
      <c r="O840" s="22"/>
      <c r="P840" s="22"/>
      <c r="Q840" s="22"/>
      <c r="S840" s="1"/>
      <c r="T840" s="22"/>
      <c r="V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4:47" ht="15.75" customHeight="1" x14ac:dyDescent="0.2">
      <c r="D841" s="22"/>
      <c r="L841" s="22"/>
      <c r="N841" s="1"/>
      <c r="O841" s="22"/>
      <c r="P841" s="22"/>
      <c r="Q841" s="22"/>
      <c r="S841" s="1"/>
      <c r="T841" s="22"/>
      <c r="V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4:47" ht="15.75" customHeight="1" x14ac:dyDescent="0.2">
      <c r="D842" s="22"/>
      <c r="L842" s="22"/>
      <c r="N842" s="1"/>
      <c r="O842" s="22"/>
      <c r="P842" s="22"/>
      <c r="Q842" s="22"/>
      <c r="S842" s="1"/>
      <c r="T842" s="22"/>
      <c r="V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4:47" ht="15.75" customHeight="1" x14ac:dyDescent="0.2">
      <c r="D843" s="22"/>
      <c r="L843" s="22"/>
      <c r="N843" s="1"/>
      <c r="O843" s="22"/>
      <c r="P843" s="22"/>
      <c r="Q843" s="22"/>
      <c r="S843" s="1"/>
      <c r="T843" s="22"/>
      <c r="V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4:47" ht="15.75" customHeight="1" x14ac:dyDescent="0.2">
      <c r="D844" s="22"/>
      <c r="L844" s="22"/>
      <c r="N844" s="1"/>
      <c r="O844" s="22"/>
      <c r="P844" s="22"/>
      <c r="Q844" s="22"/>
      <c r="S844" s="1"/>
      <c r="T844" s="22"/>
      <c r="V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4:47" ht="15.75" customHeight="1" x14ac:dyDescent="0.2">
      <c r="D845" s="22"/>
      <c r="L845" s="22"/>
      <c r="N845" s="1"/>
      <c r="O845" s="22"/>
      <c r="P845" s="22"/>
      <c r="Q845" s="22"/>
      <c r="S845" s="1"/>
      <c r="T845" s="22"/>
      <c r="V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4:47" ht="15.75" customHeight="1" x14ac:dyDescent="0.2">
      <c r="D846" s="22"/>
      <c r="L846" s="22"/>
      <c r="N846" s="1"/>
      <c r="O846" s="22"/>
      <c r="P846" s="22"/>
      <c r="Q846" s="22"/>
      <c r="S846" s="1"/>
      <c r="T846" s="22"/>
      <c r="V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4:47" ht="15.75" customHeight="1" x14ac:dyDescent="0.2">
      <c r="D847" s="22"/>
      <c r="L847" s="22"/>
      <c r="N847" s="1"/>
      <c r="O847" s="22"/>
      <c r="P847" s="22"/>
      <c r="Q847" s="22"/>
      <c r="S847" s="1"/>
      <c r="T847" s="22"/>
      <c r="V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4:47" ht="15.75" customHeight="1" x14ac:dyDescent="0.2">
      <c r="D848" s="22"/>
      <c r="L848" s="22"/>
      <c r="N848" s="1"/>
      <c r="O848" s="22"/>
      <c r="P848" s="22"/>
      <c r="Q848" s="22"/>
      <c r="S848" s="1"/>
      <c r="T848" s="22"/>
      <c r="V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4:47" ht="15.75" customHeight="1" x14ac:dyDescent="0.2">
      <c r="D849" s="22"/>
      <c r="L849" s="22"/>
      <c r="N849" s="1"/>
      <c r="O849" s="22"/>
      <c r="P849" s="22"/>
      <c r="Q849" s="22"/>
      <c r="S849" s="1"/>
      <c r="T849" s="22"/>
      <c r="V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4:47" ht="15.75" customHeight="1" x14ac:dyDescent="0.2">
      <c r="D850" s="22"/>
      <c r="L850" s="22"/>
      <c r="N850" s="1"/>
      <c r="O850" s="22"/>
      <c r="P850" s="22"/>
      <c r="Q850" s="22"/>
      <c r="S850" s="1"/>
      <c r="T850" s="22"/>
      <c r="V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4:47" ht="15.75" customHeight="1" x14ac:dyDescent="0.2">
      <c r="D851" s="22"/>
      <c r="L851" s="22"/>
      <c r="N851" s="1"/>
      <c r="O851" s="22"/>
      <c r="P851" s="22"/>
      <c r="Q851" s="22"/>
      <c r="S851" s="1"/>
      <c r="T851" s="22"/>
      <c r="V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4:47" ht="15.75" customHeight="1" x14ac:dyDescent="0.2">
      <c r="D852" s="22"/>
      <c r="L852" s="22"/>
      <c r="N852" s="1"/>
      <c r="O852" s="22"/>
      <c r="P852" s="22"/>
      <c r="Q852" s="22"/>
      <c r="S852" s="1"/>
      <c r="T852" s="22"/>
      <c r="V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4:47" ht="15.75" customHeight="1" x14ac:dyDescent="0.2">
      <c r="D853" s="22"/>
      <c r="L853" s="22"/>
      <c r="N853" s="1"/>
      <c r="O853" s="22"/>
      <c r="P853" s="22"/>
      <c r="Q853" s="22"/>
      <c r="S853" s="1"/>
      <c r="T853" s="22"/>
      <c r="V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4:47" ht="15.75" customHeight="1" x14ac:dyDescent="0.2">
      <c r="D854" s="22"/>
      <c r="L854" s="22"/>
      <c r="N854" s="1"/>
      <c r="O854" s="22"/>
      <c r="P854" s="22"/>
      <c r="Q854" s="22"/>
      <c r="S854" s="1"/>
      <c r="T854" s="22"/>
      <c r="V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4:47" ht="15.75" customHeight="1" x14ac:dyDescent="0.2">
      <c r="D855" s="22"/>
      <c r="L855" s="22"/>
      <c r="N855" s="1"/>
      <c r="O855" s="22"/>
      <c r="P855" s="22"/>
      <c r="Q855" s="22"/>
      <c r="S855" s="1"/>
      <c r="T855" s="22"/>
      <c r="V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4:47" ht="15.75" customHeight="1" x14ac:dyDescent="0.2">
      <c r="D856" s="22"/>
      <c r="L856" s="22"/>
      <c r="N856" s="1"/>
      <c r="O856" s="22"/>
      <c r="P856" s="22"/>
      <c r="Q856" s="22"/>
      <c r="S856" s="1"/>
      <c r="T856" s="22"/>
      <c r="V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4:47" ht="15.75" customHeight="1" x14ac:dyDescent="0.2">
      <c r="D857" s="22"/>
      <c r="L857" s="22"/>
      <c r="N857" s="1"/>
      <c r="O857" s="22"/>
      <c r="P857" s="22"/>
      <c r="Q857" s="22"/>
      <c r="S857" s="1"/>
      <c r="T857" s="22"/>
      <c r="V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4:47" ht="15.75" customHeight="1" x14ac:dyDescent="0.2">
      <c r="D858" s="22"/>
      <c r="L858" s="22"/>
      <c r="N858" s="1"/>
      <c r="O858" s="22"/>
      <c r="P858" s="22"/>
      <c r="Q858" s="22"/>
      <c r="S858" s="1"/>
      <c r="T858" s="22"/>
      <c r="V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4:47" ht="15.75" customHeight="1" x14ac:dyDescent="0.2">
      <c r="D859" s="22"/>
      <c r="L859" s="22"/>
      <c r="N859" s="1"/>
      <c r="O859" s="22"/>
      <c r="P859" s="22"/>
      <c r="Q859" s="22"/>
      <c r="S859" s="1"/>
      <c r="T859" s="22"/>
      <c r="V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4:47" ht="15.75" customHeight="1" x14ac:dyDescent="0.2">
      <c r="D860" s="22"/>
      <c r="L860" s="22"/>
      <c r="N860" s="1"/>
      <c r="O860" s="22"/>
      <c r="P860" s="22"/>
      <c r="Q860" s="22"/>
      <c r="S860" s="1"/>
      <c r="T860" s="22"/>
      <c r="V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4:47" ht="15.75" customHeight="1" x14ac:dyDescent="0.2">
      <c r="D861" s="22"/>
      <c r="L861" s="22"/>
      <c r="N861" s="1"/>
      <c r="O861" s="22"/>
      <c r="P861" s="22"/>
      <c r="Q861" s="22"/>
      <c r="S861" s="1"/>
      <c r="T861" s="22"/>
      <c r="V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4:47" ht="15.75" customHeight="1" x14ac:dyDescent="0.2">
      <c r="D862" s="22"/>
      <c r="L862" s="22"/>
      <c r="N862" s="1"/>
      <c r="O862" s="22"/>
      <c r="P862" s="22"/>
      <c r="Q862" s="22"/>
      <c r="S862" s="1"/>
      <c r="T862" s="22"/>
      <c r="V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4:47" ht="15.75" customHeight="1" x14ac:dyDescent="0.2">
      <c r="D863" s="22"/>
      <c r="L863" s="22"/>
      <c r="N863" s="1"/>
      <c r="O863" s="22"/>
      <c r="P863" s="22"/>
      <c r="Q863" s="22"/>
      <c r="S863" s="1"/>
      <c r="T863" s="22"/>
      <c r="V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4:47" ht="15.75" customHeight="1" x14ac:dyDescent="0.2">
      <c r="D864" s="22"/>
      <c r="L864" s="22"/>
      <c r="N864" s="1"/>
      <c r="O864" s="22"/>
      <c r="P864" s="22"/>
      <c r="Q864" s="22"/>
      <c r="S864" s="1"/>
      <c r="T864" s="22"/>
      <c r="V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4:47" ht="15.75" customHeight="1" x14ac:dyDescent="0.2">
      <c r="D865" s="22"/>
      <c r="L865" s="22"/>
      <c r="N865" s="1"/>
      <c r="O865" s="22"/>
      <c r="P865" s="22"/>
      <c r="Q865" s="22"/>
      <c r="S865" s="1"/>
      <c r="T865" s="22"/>
      <c r="V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4:47" ht="15.75" customHeight="1" x14ac:dyDescent="0.2">
      <c r="D866" s="22"/>
      <c r="L866" s="22"/>
      <c r="N866" s="1"/>
      <c r="O866" s="22"/>
      <c r="P866" s="22"/>
      <c r="Q866" s="22"/>
      <c r="S866" s="1"/>
      <c r="T866" s="22"/>
      <c r="V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4:47" ht="15.75" customHeight="1" x14ac:dyDescent="0.2">
      <c r="D867" s="22"/>
      <c r="L867" s="22"/>
      <c r="N867" s="1"/>
      <c r="O867" s="22"/>
      <c r="P867" s="22"/>
      <c r="Q867" s="22"/>
      <c r="S867" s="1"/>
      <c r="T867" s="22"/>
      <c r="V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4:47" ht="15.75" customHeight="1" x14ac:dyDescent="0.2">
      <c r="D868" s="22"/>
      <c r="L868" s="22"/>
      <c r="N868" s="1"/>
      <c r="O868" s="22"/>
      <c r="P868" s="22"/>
      <c r="Q868" s="22"/>
      <c r="S868" s="1"/>
      <c r="T868" s="22"/>
      <c r="V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4:47" ht="15.75" customHeight="1" x14ac:dyDescent="0.2">
      <c r="D869" s="22"/>
      <c r="L869" s="22"/>
      <c r="N869" s="1"/>
      <c r="O869" s="22"/>
      <c r="P869" s="22"/>
      <c r="Q869" s="22"/>
      <c r="S869" s="1"/>
      <c r="T869" s="22"/>
      <c r="V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4:47" ht="15.75" customHeight="1" x14ac:dyDescent="0.2">
      <c r="D870" s="22"/>
      <c r="L870" s="22"/>
      <c r="N870" s="1"/>
      <c r="O870" s="22"/>
      <c r="P870" s="22"/>
      <c r="Q870" s="22"/>
      <c r="S870" s="1"/>
      <c r="T870" s="22"/>
      <c r="V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4:47" ht="15.75" customHeight="1" x14ac:dyDescent="0.2">
      <c r="D871" s="22"/>
      <c r="L871" s="22"/>
      <c r="N871" s="1"/>
      <c r="O871" s="22"/>
      <c r="P871" s="22"/>
      <c r="Q871" s="22"/>
      <c r="S871" s="1"/>
      <c r="T871" s="22"/>
      <c r="V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4:47" ht="15.75" customHeight="1" x14ac:dyDescent="0.2">
      <c r="D872" s="22"/>
      <c r="L872" s="22"/>
      <c r="N872" s="1"/>
      <c r="O872" s="22"/>
      <c r="P872" s="22"/>
      <c r="Q872" s="22"/>
      <c r="S872" s="1"/>
      <c r="T872" s="22"/>
      <c r="V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4:47" ht="15.75" customHeight="1" x14ac:dyDescent="0.2">
      <c r="D873" s="22"/>
      <c r="L873" s="22"/>
      <c r="N873" s="1"/>
      <c r="O873" s="22"/>
      <c r="P873" s="22"/>
      <c r="Q873" s="22"/>
      <c r="S873" s="1"/>
      <c r="T873" s="22"/>
      <c r="V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4:47" ht="15.75" customHeight="1" x14ac:dyDescent="0.2">
      <c r="D874" s="22"/>
      <c r="L874" s="22"/>
      <c r="N874" s="1"/>
      <c r="O874" s="22"/>
      <c r="P874" s="22"/>
      <c r="Q874" s="22"/>
      <c r="S874" s="1"/>
      <c r="T874" s="22"/>
      <c r="V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4:47" ht="15.75" customHeight="1" x14ac:dyDescent="0.2">
      <c r="D875" s="22"/>
      <c r="L875" s="22"/>
      <c r="N875" s="1"/>
      <c r="O875" s="22"/>
      <c r="P875" s="22"/>
      <c r="Q875" s="22"/>
      <c r="S875" s="1"/>
      <c r="T875" s="22"/>
      <c r="V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4:47" ht="15.75" customHeight="1" x14ac:dyDescent="0.2">
      <c r="D876" s="22"/>
      <c r="L876" s="22"/>
      <c r="N876" s="1"/>
      <c r="O876" s="22"/>
      <c r="P876" s="22"/>
      <c r="Q876" s="22"/>
      <c r="S876" s="1"/>
      <c r="T876" s="22"/>
      <c r="V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4:47" ht="15.75" customHeight="1" x14ac:dyDescent="0.2">
      <c r="D877" s="22"/>
      <c r="L877" s="22"/>
      <c r="N877" s="1"/>
      <c r="O877" s="22"/>
      <c r="P877" s="22"/>
      <c r="Q877" s="22"/>
      <c r="S877" s="1"/>
      <c r="T877" s="22"/>
      <c r="V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4:47" ht="15.75" customHeight="1" x14ac:dyDescent="0.2">
      <c r="D878" s="22"/>
      <c r="L878" s="22"/>
      <c r="N878" s="1"/>
      <c r="O878" s="22"/>
      <c r="P878" s="22"/>
      <c r="Q878" s="22"/>
      <c r="S878" s="1"/>
      <c r="T878" s="22"/>
      <c r="V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4:47" ht="15.75" customHeight="1" x14ac:dyDescent="0.2">
      <c r="D879" s="22"/>
      <c r="L879" s="22"/>
      <c r="N879" s="1"/>
      <c r="O879" s="22"/>
      <c r="P879" s="22"/>
      <c r="Q879" s="22"/>
      <c r="S879" s="1"/>
      <c r="T879" s="22"/>
      <c r="V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4:47" ht="15.75" customHeight="1" x14ac:dyDescent="0.2">
      <c r="D880" s="22"/>
      <c r="L880" s="22"/>
      <c r="N880" s="1"/>
      <c r="O880" s="22"/>
      <c r="P880" s="22"/>
      <c r="Q880" s="22"/>
      <c r="S880" s="1"/>
      <c r="T880" s="22"/>
      <c r="V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4:47" ht="15.75" customHeight="1" x14ac:dyDescent="0.2">
      <c r="D881" s="22"/>
      <c r="L881" s="22"/>
      <c r="N881" s="1"/>
      <c r="O881" s="22"/>
      <c r="P881" s="22"/>
      <c r="Q881" s="22"/>
      <c r="S881" s="1"/>
      <c r="T881" s="22"/>
      <c r="V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4:47" ht="15.75" customHeight="1" x14ac:dyDescent="0.2">
      <c r="D882" s="22"/>
      <c r="L882" s="22"/>
      <c r="N882" s="1"/>
      <c r="O882" s="22"/>
      <c r="P882" s="22"/>
      <c r="Q882" s="22"/>
      <c r="S882" s="1"/>
      <c r="T882" s="22"/>
      <c r="V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4:47" ht="15.75" customHeight="1" x14ac:dyDescent="0.2">
      <c r="D883" s="22"/>
      <c r="L883" s="22"/>
      <c r="N883" s="1"/>
      <c r="O883" s="22"/>
      <c r="P883" s="22"/>
      <c r="Q883" s="22"/>
      <c r="S883" s="1"/>
      <c r="T883" s="22"/>
      <c r="V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4:47" ht="15.75" customHeight="1" x14ac:dyDescent="0.2">
      <c r="D884" s="22"/>
      <c r="L884" s="22"/>
      <c r="N884" s="1"/>
      <c r="O884" s="22"/>
      <c r="P884" s="22"/>
      <c r="Q884" s="22"/>
      <c r="S884" s="1"/>
      <c r="T884" s="22"/>
      <c r="V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4:47" ht="15.75" customHeight="1" x14ac:dyDescent="0.2">
      <c r="D885" s="22"/>
      <c r="L885" s="22"/>
      <c r="N885" s="1"/>
      <c r="O885" s="22"/>
      <c r="P885" s="22"/>
      <c r="Q885" s="22"/>
      <c r="S885" s="1"/>
      <c r="T885" s="22"/>
      <c r="V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4:47" ht="15.75" customHeight="1" x14ac:dyDescent="0.2">
      <c r="D886" s="22"/>
      <c r="L886" s="22"/>
      <c r="N886" s="1"/>
      <c r="O886" s="22"/>
      <c r="P886" s="22"/>
      <c r="Q886" s="22"/>
      <c r="S886" s="1"/>
      <c r="T886" s="22"/>
      <c r="V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4:47" ht="15.75" customHeight="1" x14ac:dyDescent="0.2">
      <c r="D887" s="22"/>
      <c r="L887" s="22"/>
      <c r="N887" s="1"/>
      <c r="O887" s="22"/>
      <c r="P887" s="22"/>
      <c r="Q887" s="22"/>
      <c r="S887" s="1"/>
      <c r="T887" s="22"/>
      <c r="V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4:47" ht="15.75" customHeight="1" x14ac:dyDescent="0.2">
      <c r="D888" s="22"/>
      <c r="L888" s="22"/>
      <c r="N888" s="1"/>
      <c r="O888" s="22"/>
      <c r="P888" s="22"/>
      <c r="Q888" s="22"/>
      <c r="S888" s="1"/>
      <c r="T888" s="22"/>
      <c r="V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4:47" ht="15.75" customHeight="1" x14ac:dyDescent="0.2">
      <c r="D889" s="22"/>
      <c r="L889" s="22"/>
      <c r="N889" s="1"/>
      <c r="O889" s="22"/>
      <c r="P889" s="22"/>
      <c r="Q889" s="22"/>
      <c r="S889" s="1"/>
      <c r="T889" s="22"/>
      <c r="V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4:47" ht="15.75" customHeight="1" x14ac:dyDescent="0.2">
      <c r="D890" s="22"/>
      <c r="L890" s="22"/>
      <c r="N890" s="1"/>
      <c r="O890" s="22"/>
      <c r="P890" s="22"/>
      <c r="Q890" s="22"/>
      <c r="S890" s="1"/>
      <c r="T890" s="22"/>
      <c r="V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4:47" ht="15.75" customHeight="1" x14ac:dyDescent="0.2">
      <c r="D891" s="22"/>
      <c r="L891" s="22"/>
      <c r="N891" s="1"/>
      <c r="O891" s="22"/>
      <c r="P891" s="22"/>
      <c r="Q891" s="22"/>
      <c r="S891" s="1"/>
      <c r="T891" s="22"/>
      <c r="V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4:47" ht="15.75" customHeight="1" x14ac:dyDescent="0.2">
      <c r="D892" s="22"/>
      <c r="L892" s="22"/>
      <c r="N892" s="1"/>
      <c r="O892" s="22"/>
      <c r="P892" s="22"/>
      <c r="Q892" s="22"/>
      <c r="S892" s="1"/>
      <c r="T892" s="22"/>
      <c r="V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4:47" ht="15.75" customHeight="1" x14ac:dyDescent="0.2">
      <c r="D893" s="22"/>
      <c r="L893" s="22"/>
      <c r="N893" s="1"/>
      <c r="O893" s="22"/>
      <c r="P893" s="22"/>
      <c r="Q893" s="22"/>
      <c r="S893" s="1"/>
      <c r="T893" s="22"/>
      <c r="V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4:47" ht="15.75" customHeight="1" x14ac:dyDescent="0.2">
      <c r="D894" s="22"/>
      <c r="L894" s="22"/>
      <c r="N894" s="1"/>
      <c r="O894" s="22"/>
      <c r="P894" s="22"/>
      <c r="Q894" s="22"/>
      <c r="S894" s="1"/>
      <c r="T894" s="22"/>
      <c r="V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4:47" ht="15.75" customHeight="1" x14ac:dyDescent="0.2">
      <c r="D895" s="22"/>
      <c r="L895" s="22"/>
      <c r="N895" s="1"/>
      <c r="O895" s="22"/>
      <c r="P895" s="22"/>
      <c r="Q895" s="22"/>
      <c r="S895" s="1"/>
      <c r="T895" s="22"/>
      <c r="V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4:47" ht="15.75" customHeight="1" x14ac:dyDescent="0.2">
      <c r="D896" s="22"/>
      <c r="L896" s="22"/>
      <c r="N896" s="1"/>
      <c r="O896" s="22"/>
      <c r="P896" s="22"/>
      <c r="Q896" s="22"/>
      <c r="S896" s="1"/>
      <c r="T896" s="22"/>
      <c r="V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4:47" ht="15.75" customHeight="1" x14ac:dyDescent="0.2">
      <c r="D897" s="22"/>
      <c r="L897" s="22"/>
      <c r="N897" s="1"/>
      <c r="O897" s="22"/>
      <c r="P897" s="22"/>
      <c r="Q897" s="22"/>
      <c r="S897" s="1"/>
      <c r="T897" s="22"/>
      <c r="V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4:47" ht="15.75" customHeight="1" x14ac:dyDescent="0.2">
      <c r="D898" s="22"/>
      <c r="L898" s="22"/>
      <c r="N898" s="1"/>
      <c r="O898" s="22"/>
      <c r="P898" s="22"/>
      <c r="Q898" s="22"/>
      <c r="S898" s="1"/>
      <c r="T898" s="22"/>
      <c r="V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4:47" ht="15.75" customHeight="1" x14ac:dyDescent="0.2">
      <c r="D899" s="22"/>
      <c r="L899" s="22"/>
      <c r="N899" s="1"/>
      <c r="O899" s="22"/>
      <c r="P899" s="22"/>
      <c r="Q899" s="22"/>
      <c r="S899" s="1"/>
      <c r="T899" s="22"/>
      <c r="V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4:47" ht="15.75" customHeight="1" x14ac:dyDescent="0.2">
      <c r="D900" s="22"/>
      <c r="L900" s="22"/>
      <c r="N900" s="1"/>
      <c r="O900" s="22"/>
      <c r="P900" s="22"/>
      <c r="Q900" s="22"/>
      <c r="S900" s="1"/>
      <c r="T900" s="22"/>
      <c r="V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4:47" ht="15.75" customHeight="1" x14ac:dyDescent="0.2">
      <c r="D901" s="22"/>
      <c r="L901" s="22"/>
      <c r="N901" s="1"/>
      <c r="O901" s="22"/>
      <c r="P901" s="22"/>
      <c r="Q901" s="22"/>
      <c r="S901" s="1"/>
      <c r="T901" s="22"/>
      <c r="V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4:47" ht="15.75" customHeight="1" x14ac:dyDescent="0.2">
      <c r="D902" s="22"/>
      <c r="L902" s="22"/>
      <c r="N902" s="1"/>
      <c r="O902" s="22"/>
      <c r="P902" s="22"/>
      <c r="Q902" s="22"/>
      <c r="S902" s="1"/>
      <c r="T902" s="22"/>
      <c r="V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4:47" ht="15.75" customHeight="1" x14ac:dyDescent="0.2">
      <c r="D903" s="22"/>
      <c r="L903" s="22"/>
      <c r="N903" s="1"/>
      <c r="O903" s="22"/>
      <c r="P903" s="22"/>
      <c r="Q903" s="22"/>
      <c r="S903" s="1"/>
      <c r="T903" s="22"/>
      <c r="V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4:47" ht="15.75" customHeight="1" x14ac:dyDescent="0.2">
      <c r="D904" s="22"/>
      <c r="L904" s="22"/>
      <c r="N904" s="1"/>
      <c r="O904" s="22"/>
      <c r="P904" s="22"/>
      <c r="Q904" s="22"/>
      <c r="S904" s="1"/>
      <c r="T904" s="22"/>
      <c r="V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4:47" ht="15.75" customHeight="1" x14ac:dyDescent="0.2">
      <c r="D905" s="22"/>
      <c r="L905" s="22"/>
      <c r="N905" s="1"/>
      <c r="O905" s="22"/>
      <c r="P905" s="22"/>
      <c r="Q905" s="22"/>
      <c r="S905" s="1"/>
      <c r="T905" s="22"/>
      <c r="V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4:47" ht="15.75" customHeight="1" x14ac:dyDescent="0.2">
      <c r="D906" s="22"/>
      <c r="L906" s="22"/>
      <c r="N906" s="1"/>
      <c r="O906" s="22"/>
      <c r="P906" s="22"/>
      <c r="Q906" s="22"/>
      <c r="S906" s="1"/>
      <c r="T906" s="22"/>
      <c r="V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4:47" ht="15.75" customHeight="1" x14ac:dyDescent="0.2">
      <c r="D907" s="22"/>
      <c r="L907" s="22"/>
      <c r="N907" s="1"/>
      <c r="O907" s="22"/>
      <c r="P907" s="22"/>
      <c r="Q907" s="22"/>
      <c r="S907" s="1"/>
      <c r="T907" s="22"/>
      <c r="V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4:47" ht="15.75" customHeight="1" x14ac:dyDescent="0.2">
      <c r="D908" s="22"/>
      <c r="L908" s="22"/>
      <c r="N908" s="1"/>
      <c r="O908" s="22"/>
      <c r="P908" s="22"/>
      <c r="Q908" s="22"/>
      <c r="S908" s="1"/>
      <c r="T908" s="22"/>
      <c r="V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4:47" ht="15.75" customHeight="1" x14ac:dyDescent="0.2">
      <c r="D909" s="22"/>
      <c r="L909" s="22"/>
      <c r="N909" s="1"/>
      <c r="O909" s="22"/>
      <c r="P909" s="22"/>
      <c r="Q909" s="22"/>
      <c r="S909" s="1"/>
      <c r="T909" s="22"/>
      <c r="V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4:47" ht="15.75" customHeight="1" x14ac:dyDescent="0.2">
      <c r="D910" s="22"/>
      <c r="L910" s="22"/>
      <c r="N910" s="1"/>
      <c r="O910" s="22"/>
      <c r="P910" s="22"/>
      <c r="Q910" s="22"/>
      <c r="S910" s="1"/>
      <c r="T910" s="22"/>
      <c r="V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4:47" ht="15.75" customHeight="1" x14ac:dyDescent="0.2">
      <c r="D911" s="22"/>
      <c r="L911" s="22"/>
      <c r="N911" s="1"/>
      <c r="O911" s="22"/>
      <c r="P911" s="22"/>
      <c r="Q911" s="22"/>
      <c r="S911" s="1"/>
      <c r="T911" s="22"/>
      <c r="V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4:47" ht="15.75" customHeight="1" x14ac:dyDescent="0.2">
      <c r="D912" s="22"/>
      <c r="L912" s="22"/>
      <c r="N912" s="1"/>
      <c r="O912" s="22"/>
      <c r="P912" s="22"/>
      <c r="Q912" s="22"/>
      <c r="S912" s="1"/>
      <c r="T912" s="22"/>
      <c r="V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4:47" ht="15.75" customHeight="1" x14ac:dyDescent="0.2">
      <c r="D913" s="22"/>
      <c r="L913" s="22"/>
      <c r="N913" s="1"/>
      <c r="O913" s="22"/>
      <c r="P913" s="22"/>
      <c r="Q913" s="22"/>
      <c r="S913" s="1"/>
      <c r="T913" s="22"/>
      <c r="V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4:47" ht="15.75" customHeight="1" x14ac:dyDescent="0.2">
      <c r="D914" s="22"/>
      <c r="L914" s="22"/>
      <c r="N914" s="1"/>
      <c r="O914" s="22"/>
      <c r="P914" s="22"/>
      <c r="Q914" s="22"/>
      <c r="S914" s="1"/>
      <c r="T914" s="22"/>
      <c r="V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4:47" ht="15.75" customHeight="1" x14ac:dyDescent="0.2">
      <c r="D915" s="22"/>
      <c r="L915" s="22"/>
      <c r="N915" s="1"/>
      <c r="O915" s="22"/>
      <c r="P915" s="22"/>
      <c r="Q915" s="22"/>
      <c r="S915" s="1"/>
      <c r="T915" s="22"/>
      <c r="V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4:47" ht="15.75" customHeight="1" x14ac:dyDescent="0.2">
      <c r="D916" s="22"/>
      <c r="L916" s="22"/>
      <c r="N916" s="1"/>
      <c r="O916" s="22"/>
      <c r="P916" s="22"/>
      <c r="Q916" s="22"/>
      <c r="S916" s="1"/>
      <c r="T916" s="22"/>
      <c r="V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4:47" ht="15.75" customHeight="1" x14ac:dyDescent="0.2">
      <c r="D917" s="22"/>
      <c r="L917" s="22"/>
      <c r="N917" s="1"/>
      <c r="O917" s="22"/>
      <c r="P917" s="22"/>
      <c r="Q917" s="22"/>
      <c r="S917" s="1"/>
      <c r="T917" s="22"/>
      <c r="V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4:47" ht="15.75" customHeight="1" x14ac:dyDescent="0.2">
      <c r="D918" s="22"/>
      <c r="L918" s="22"/>
      <c r="N918" s="1"/>
      <c r="O918" s="22"/>
      <c r="P918" s="22"/>
      <c r="Q918" s="22"/>
      <c r="S918" s="1"/>
      <c r="T918" s="22"/>
      <c r="V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4:47" ht="15.75" customHeight="1" x14ac:dyDescent="0.2">
      <c r="D919" s="22"/>
      <c r="L919" s="22"/>
      <c r="N919" s="1"/>
      <c r="O919" s="22"/>
      <c r="P919" s="22"/>
      <c r="Q919" s="22"/>
      <c r="S919" s="1"/>
      <c r="T919" s="22"/>
      <c r="V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4:47" ht="15.75" customHeight="1" x14ac:dyDescent="0.2">
      <c r="D920" s="22"/>
      <c r="L920" s="22"/>
      <c r="N920" s="1"/>
      <c r="O920" s="22"/>
      <c r="P920" s="22"/>
      <c r="Q920" s="22"/>
      <c r="S920" s="1"/>
      <c r="T920" s="22"/>
      <c r="V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4:47" ht="15.75" customHeight="1" x14ac:dyDescent="0.2">
      <c r="D921" s="22"/>
      <c r="L921" s="22"/>
      <c r="N921" s="1"/>
      <c r="O921" s="22"/>
      <c r="P921" s="22"/>
      <c r="Q921" s="22"/>
      <c r="S921" s="1"/>
      <c r="T921" s="22"/>
      <c r="V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4:47" ht="15.75" customHeight="1" x14ac:dyDescent="0.2">
      <c r="D922" s="22"/>
      <c r="L922" s="22"/>
      <c r="N922" s="1"/>
      <c r="O922" s="22"/>
      <c r="P922" s="22"/>
      <c r="Q922" s="22"/>
      <c r="S922" s="1"/>
      <c r="T922" s="22"/>
      <c r="V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4:47" ht="15.75" customHeight="1" x14ac:dyDescent="0.2">
      <c r="D923" s="22"/>
      <c r="L923" s="22"/>
      <c r="N923" s="1"/>
      <c r="O923" s="22"/>
      <c r="P923" s="22"/>
      <c r="Q923" s="22"/>
      <c r="S923" s="1"/>
      <c r="T923" s="22"/>
      <c r="V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4:47" ht="15.75" customHeight="1" x14ac:dyDescent="0.2">
      <c r="D924" s="22"/>
      <c r="L924" s="22"/>
      <c r="N924" s="1"/>
      <c r="O924" s="22"/>
      <c r="P924" s="22"/>
      <c r="Q924" s="22"/>
      <c r="S924" s="1"/>
      <c r="T924" s="22"/>
      <c r="V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4:47" ht="15.75" customHeight="1" x14ac:dyDescent="0.2">
      <c r="D925" s="22"/>
      <c r="L925" s="22"/>
      <c r="N925" s="1"/>
      <c r="O925" s="22"/>
      <c r="P925" s="22"/>
      <c r="Q925" s="22"/>
      <c r="S925" s="1"/>
      <c r="T925" s="22"/>
      <c r="V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4:47" ht="15.75" customHeight="1" x14ac:dyDescent="0.2">
      <c r="D926" s="22"/>
      <c r="L926" s="22"/>
      <c r="N926" s="1"/>
      <c r="O926" s="22"/>
      <c r="P926" s="22"/>
      <c r="Q926" s="22"/>
      <c r="S926" s="1"/>
      <c r="T926" s="22"/>
      <c r="V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4:47" ht="15.75" customHeight="1" x14ac:dyDescent="0.2">
      <c r="D927" s="22"/>
      <c r="L927" s="22"/>
      <c r="N927" s="1"/>
      <c r="O927" s="22"/>
      <c r="P927" s="22"/>
      <c r="Q927" s="22"/>
      <c r="S927" s="1"/>
      <c r="T927" s="22"/>
      <c r="V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4:47" ht="15.75" customHeight="1" x14ac:dyDescent="0.2">
      <c r="D928" s="22"/>
      <c r="L928" s="22"/>
      <c r="N928" s="1"/>
      <c r="O928" s="22"/>
      <c r="P928" s="22"/>
      <c r="Q928" s="22"/>
      <c r="S928" s="1"/>
      <c r="T928" s="22"/>
      <c r="V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4:47" ht="15.75" customHeight="1" x14ac:dyDescent="0.2">
      <c r="D929" s="22"/>
      <c r="L929" s="22"/>
      <c r="N929" s="1"/>
      <c r="O929" s="22"/>
      <c r="P929" s="22"/>
      <c r="Q929" s="22"/>
      <c r="S929" s="1"/>
      <c r="T929" s="22"/>
      <c r="V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4:47" ht="15.75" customHeight="1" x14ac:dyDescent="0.2">
      <c r="D930" s="22"/>
      <c r="L930" s="22"/>
      <c r="N930" s="1"/>
      <c r="O930" s="22"/>
      <c r="P930" s="22"/>
      <c r="Q930" s="22"/>
      <c r="S930" s="1"/>
      <c r="T930" s="22"/>
      <c r="V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4:47" ht="15.75" customHeight="1" x14ac:dyDescent="0.2">
      <c r="D931" s="22"/>
      <c r="L931" s="22"/>
      <c r="N931" s="1"/>
      <c r="O931" s="22"/>
      <c r="P931" s="22"/>
      <c r="Q931" s="22"/>
      <c r="S931" s="1"/>
      <c r="T931" s="22"/>
      <c r="V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4:47" ht="15.75" customHeight="1" x14ac:dyDescent="0.2">
      <c r="D932" s="22"/>
      <c r="L932" s="22"/>
      <c r="N932" s="1"/>
      <c r="O932" s="22"/>
      <c r="P932" s="22"/>
      <c r="Q932" s="22"/>
      <c r="S932" s="1"/>
      <c r="T932" s="22"/>
      <c r="V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4:47" ht="15.75" customHeight="1" x14ac:dyDescent="0.2">
      <c r="D933" s="22"/>
      <c r="L933" s="22"/>
      <c r="N933" s="1"/>
      <c r="O933" s="22"/>
      <c r="P933" s="22"/>
      <c r="Q933" s="22"/>
      <c r="S933" s="1"/>
      <c r="T933" s="22"/>
      <c r="V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4:47" ht="15.75" customHeight="1" x14ac:dyDescent="0.2">
      <c r="D934" s="22"/>
      <c r="L934" s="22"/>
      <c r="N934" s="1"/>
      <c r="O934" s="22"/>
      <c r="P934" s="22"/>
      <c r="Q934" s="22"/>
      <c r="S934" s="1"/>
      <c r="T934" s="22"/>
      <c r="V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4:47" ht="15.75" customHeight="1" x14ac:dyDescent="0.2">
      <c r="D935" s="22"/>
      <c r="L935" s="22"/>
      <c r="N935" s="1"/>
      <c r="O935" s="22"/>
      <c r="P935" s="22"/>
      <c r="Q935" s="22"/>
      <c r="S935" s="1"/>
      <c r="T935" s="22"/>
      <c r="V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4:47" ht="15.75" customHeight="1" x14ac:dyDescent="0.2">
      <c r="D936" s="22"/>
      <c r="L936" s="22"/>
      <c r="N936" s="1"/>
      <c r="O936" s="22"/>
      <c r="P936" s="22"/>
      <c r="Q936" s="22"/>
      <c r="S936" s="1"/>
      <c r="T936" s="22"/>
      <c r="V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4:47" ht="15.75" customHeight="1" x14ac:dyDescent="0.2">
      <c r="D937" s="22"/>
      <c r="L937" s="22"/>
      <c r="N937" s="1"/>
      <c r="O937" s="22"/>
      <c r="P937" s="22"/>
      <c r="Q937" s="22"/>
      <c r="S937" s="1"/>
      <c r="T937" s="22"/>
      <c r="V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4:47" ht="15.75" customHeight="1" x14ac:dyDescent="0.2">
      <c r="D938" s="22"/>
      <c r="L938" s="22"/>
      <c r="N938" s="1"/>
      <c r="O938" s="22"/>
      <c r="P938" s="22"/>
      <c r="Q938" s="22"/>
      <c r="S938" s="1"/>
      <c r="T938" s="22"/>
      <c r="V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4:47" ht="15.75" customHeight="1" x14ac:dyDescent="0.2">
      <c r="D939" s="22"/>
      <c r="L939" s="22"/>
      <c r="N939" s="1"/>
      <c r="O939" s="22"/>
      <c r="P939" s="22"/>
      <c r="Q939" s="22"/>
      <c r="S939" s="1"/>
      <c r="T939" s="22"/>
      <c r="V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4:47" ht="15.75" customHeight="1" x14ac:dyDescent="0.2">
      <c r="D940" s="22"/>
      <c r="L940" s="22"/>
      <c r="N940" s="1"/>
      <c r="O940" s="22"/>
      <c r="P940" s="22"/>
      <c r="Q940" s="22"/>
      <c r="S940" s="1"/>
      <c r="T940" s="22"/>
      <c r="V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4:47" ht="15.75" customHeight="1" x14ac:dyDescent="0.2">
      <c r="D941" s="22"/>
      <c r="L941" s="22"/>
      <c r="N941" s="1"/>
      <c r="O941" s="22"/>
      <c r="P941" s="22"/>
      <c r="Q941" s="22"/>
      <c r="S941" s="1"/>
      <c r="T941" s="22"/>
      <c r="V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4:47" ht="15.75" customHeight="1" x14ac:dyDescent="0.2">
      <c r="D942" s="22"/>
      <c r="L942" s="22"/>
      <c r="N942" s="1"/>
      <c r="O942" s="22"/>
      <c r="P942" s="22"/>
      <c r="Q942" s="22"/>
      <c r="S942" s="1"/>
      <c r="T942" s="22"/>
      <c r="V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4:47" ht="15.75" customHeight="1" x14ac:dyDescent="0.2">
      <c r="D943" s="22"/>
      <c r="L943" s="22"/>
      <c r="N943" s="1"/>
      <c r="O943" s="22"/>
      <c r="P943" s="22"/>
      <c r="Q943" s="22"/>
      <c r="S943" s="1"/>
      <c r="T943" s="22"/>
      <c r="V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4:47" ht="15.75" customHeight="1" x14ac:dyDescent="0.2">
      <c r="D944" s="22"/>
      <c r="L944" s="22"/>
      <c r="N944" s="1"/>
      <c r="O944" s="22"/>
      <c r="P944" s="22"/>
      <c r="Q944" s="22"/>
      <c r="S944" s="1"/>
      <c r="T944" s="22"/>
      <c r="V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4:47" ht="15.75" customHeight="1" x14ac:dyDescent="0.2">
      <c r="D945" s="22"/>
      <c r="L945" s="22"/>
      <c r="N945" s="1"/>
      <c r="O945" s="22"/>
      <c r="P945" s="22"/>
      <c r="Q945" s="22"/>
      <c r="S945" s="1"/>
      <c r="T945" s="22"/>
      <c r="V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4:47" ht="15.75" customHeight="1" x14ac:dyDescent="0.2">
      <c r="D946" s="22"/>
      <c r="L946" s="22"/>
      <c r="N946" s="1"/>
      <c r="O946" s="22"/>
      <c r="P946" s="22"/>
      <c r="Q946" s="22"/>
      <c r="S946" s="1"/>
      <c r="T946" s="22"/>
      <c r="V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4:47" ht="15.75" customHeight="1" x14ac:dyDescent="0.2">
      <c r="D947" s="22"/>
      <c r="L947" s="22"/>
      <c r="N947" s="1"/>
      <c r="O947" s="22"/>
      <c r="P947" s="22"/>
      <c r="Q947" s="22"/>
      <c r="S947" s="1"/>
      <c r="T947" s="22"/>
      <c r="V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4:47" ht="15.75" customHeight="1" x14ac:dyDescent="0.2">
      <c r="D948" s="22"/>
      <c r="L948" s="22"/>
      <c r="N948" s="1"/>
      <c r="O948" s="22"/>
      <c r="P948" s="22"/>
      <c r="Q948" s="22"/>
      <c r="S948" s="1"/>
      <c r="T948" s="22"/>
      <c r="V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4:47" ht="15.75" customHeight="1" x14ac:dyDescent="0.2">
      <c r="D949" s="22"/>
      <c r="L949" s="22"/>
      <c r="N949" s="1"/>
      <c r="O949" s="22"/>
      <c r="P949" s="22"/>
      <c r="Q949" s="22"/>
      <c r="S949" s="1"/>
      <c r="T949" s="22"/>
      <c r="V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4:47" ht="15.75" customHeight="1" x14ac:dyDescent="0.2">
      <c r="D950" s="22"/>
      <c r="L950" s="22"/>
      <c r="N950" s="1"/>
      <c r="O950" s="22"/>
      <c r="P950" s="22"/>
      <c r="Q950" s="22"/>
      <c r="S950" s="1"/>
      <c r="T950" s="22"/>
      <c r="V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4:47" ht="15.75" customHeight="1" x14ac:dyDescent="0.2">
      <c r="D951" s="22"/>
      <c r="L951" s="22"/>
      <c r="N951" s="1"/>
      <c r="O951" s="22"/>
      <c r="P951" s="22"/>
      <c r="Q951" s="22"/>
      <c r="S951" s="1"/>
      <c r="T951" s="22"/>
      <c r="V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4:47" ht="15.75" customHeight="1" x14ac:dyDescent="0.2">
      <c r="D952" s="22"/>
      <c r="L952" s="22"/>
      <c r="N952" s="1"/>
      <c r="O952" s="22"/>
      <c r="P952" s="22"/>
      <c r="Q952" s="22"/>
      <c r="S952" s="1"/>
      <c r="T952" s="22"/>
      <c r="V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4:47" ht="15.75" customHeight="1" x14ac:dyDescent="0.2">
      <c r="D953" s="22"/>
      <c r="L953" s="22"/>
      <c r="N953" s="1"/>
      <c r="O953" s="22"/>
      <c r="P953" s="22"/>
      <c r="Q953" s="22"/>
      <c r="S953" s="1"/>
      <c r="T953" s="22"/>
      <c r="V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4:47" ht="15.75" customHeight="1" x14ac:dyDescent="0.2">
      <c r="D954" s="22"/>
      <c r="L954" s="22"/>
      <c r="N954" s="1"/>
      <c r="O954" s="22"/>
      <c r="P954" s="22"/>
      <c r="Q954" s="22"/>
      <c r="S954" s="1"/>
      <c r="T954" s="22"/>
      <c r="V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4:47" ht="15.75" customHeight="1" x14ac:dyDescent="0.2">
      <c r="D955" s="22"/>
      <c r="L955" s="22"/>
      <c r="N955" s="1"/>
      <c r="O955" s="22"/>
      <c r="P955" s="22"/>
      <c r="Q955" s="22"/>
      <c r="S955" s="1"/>
      <c r="T955" s="22"/>
      <c r="V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4:47" ht="15.75" customHeight="1" x14ac:dyDescent="0.2">
      <c r="D956" s="22"/>
      <c r="L956" s="22"/>
      <c r="N956" s="1"/>
      <c r="O956" s="22"/>
      <c r="P956" s="22"/>
      <c r="Q956" s="22"/>
      <c r="S956" s="1"/>
      <c r="T956" s="22"/>
      <c r="V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4:47" ht="15.75" customHeight="1" x14ac:dyDescent="0.2">
      <c r="D957" s="22"/>
      <c r="L957" s="22"/>
      <c r="N957" s="1"/>
      <c r="O957" s="22"/>
      <c r="P957" s="22"/>
      <c r="Q957" s="22"/>
      <c r="S957" s="1"/>
      <c r="T957" s="22"/>
      <c r="V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4:47" ht="15.75" customHeight="1" x14ac:dyDescent="0.2">
      <c r="D958" s="22"/>
      <c r="L958" s="22"/>
      <c r="N958" s="1"/>
      <c r="O958" s="22"/>
      <c r="P958" s="22"/>
      <c r="Q958" s="22"/>
      <c r="S958" s="1"/>
      <c r="T958" s="22"/>
      <c r="V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4:47" ht="15.75" customHeight="1" x14ac:dyDescent="0.2">
      <c r="D959" s="22"/>
      <c r="L959" s="22"/>
      <c r="N959" s="1"/>
      <c r="O959" s="22"/>
      <c r="P959" s="22"/>
      <c r="Q959" s="22"/>
      <c r="S959" s="1"/>
      <c r="T959" s="22"/>
      <c r="V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4:47" ht="15.75" customHeight="1" x14ac:dyDescent="0.2">
      <c r="D960" s="22"/>
      <c r="L960" s="22"/>
      <c r="N960" s="1"/>
      <c r="O960" s="22"/>
      <c r="P960" s="22"/>
      <c r="Q960" s="22"/>
      <c r="S960" s="1"/>
      <c r="T960" s="22"/>
      <c r="V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4:47" ht="15.75" customHeight="1" x14ac:dyDescent="0.2">
      <c r="D961" s="22"/>
      <c r="L961" s="22"/>
      <c r="N961" s="1"/>
      <c r="O961" s="22"/>
      <c r="P961" s="22"/>
      <c r="Q961" s="22"/>
      <c r="S961" s="1"/>
      <c r="T961" s="22"/>
      <c r="V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4:47" ht="15.75" customHeight="1" x14ac:dyDescent="0.2">
      <c r="D962" s="22"/>
      <c r="L962" s="22"/>
      <c r="N962" s="1"/>
      <c r="O962" s="22"/>
      <c r="P962" s="22"/>
      <c r="Q962" s="22"/>
      <c r="S962" s="1"/>
      <c r="T962" s="22"/>
      <c r="V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4:47" ht="15.75" customHeight="1" x14ac:dyDescent="0.2">
      <c r="D963" s="22"/>
      <c r="L963" s="22"/>
      <c r="N963" s="1"/>
      <c r="O963" s="22"/>
      <c r="P963" s="22"/>
      <c r="Q963" s="22"/>
      <c r="S963" s="1"/>
      <c r="T963" s="22"/>
      <c r="V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4:47" ht="15.75" customHeight="1" x14ac:dyDescent="0.2">
      <c r="D964" s="22"/>
      <c r="L964" s="22"/>
      <c r="N964" s="1"/>
      <c r="O964" s="22"/>
      <c r="P964" s="22"/>
      <c r="Q964" s="22"/>
      <c r="S964" s="1"/>
      <c r="T964" s="22"/>
      <c r="V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4:47" ht="15.75" customHeight="1" x14ac:dyDescent="0.2">
      <c r="D965" s="22"/>
      <c r="L965" s="22"/>
      <c r="N965" s="1"/>
      <c r="O965" s="22"/>
      <c r="P965" s="22"/>
      <c r="Q965" s="22"/>
      <c r="S965" s="1"/>
      <c r="T965" s="22"/>
      <c r="V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4:47" ht="15.75" customHeight="1" x14ac:dyDescent="0.2">
      <c r="D966" s="22"/>
      <c r="L966" s="22"/>
      <c r="N966" s="1"/>
      <c r="O966" s="22"/>
      <c r="P966" s="22"/>
      <c r="Q966" s="22"/>
      <c r="S966" s="1"/>
      <c r="T966" s="22"/>
      <c r="V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4:47" ht="15.75" customHeight="1" x14ac:dyDescent="0.2">
      <c r="D967" s="22"/>
      <c r="L967" s="22"/>
      <c r="N967" s="1"/>
      <c r="O967" s="22"/>
      <c r="P967" s="22"/>
      <c r="Q967" s="22"/>
      <c r="S967" s="1"/>
      <c r="T967" s="22"/>
      <c r="V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4:47" ht="15.75" customHeight="1" x14ac:dyDescent="0.2">
      <c r="D968" s="22"/>
      <c r="L968" s="22"/>
      <c r="N968" s="1"/>
      <c r="O968" s="22"/>
      <c r="P968" s="22"/>
      <c r="Q968" s="22"/>
      <c r="S968" s="1"/>
      <c r="T968" s="22"/>
      <c r="V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4:47" ht="15.75" customHeight="1" x14ac:dyDescent="0.2">
      <c r="D969" s="22"/>
      <c r="L969" s="22"/>
      <c r="N969" s="1"/>
      <c r="O969" s="22"/>
      <c r="P969" s="22"/>
      <c r="Q969" s="22"/>
      <c r="S969" s="1"/>
      <c r="T969" s="22"/>
      <c r="V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4:47" ht="15.75" customHeight="1" x14ac:dyDescent="0.2">
      <c r="D970" s="22"/>
      <c r="L970" s="22"/>
      <c r="N970" s="1"/>
      <c r="O970" s="22"/>
      <c r="P970" s="22"/>
      <c r="Q970" s="22"/>
      <c r="S970" s="1"/>
      <c r="T970" s="22"/>
      <c r="V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4:47" ht="15.75" customHeight="1" x14ac:dyDescent="0.2">
      <c r="D971" s="22"/>
      <c r="L971" s="22"/>
      <c r="N971" s="1"/>
      <c r="O971" s="22"/>
      <c r="P971" s="22"/>
      <c r="Q971" s="22"/>
      <c r="S971" s="1"/>
      <c r="T971" s="22"/>
      <c r="V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4:47" ht="15.75" customHeight="1" x14ac:dyDescent="0.2">
      <c r="D972" s="22"/>
      <c r="L972" s="22"/>
      <c r="N972" s="1"/>
      <c r="O972" s="22"/>
      <c r="P972" s="22"/>
      <c r="Q972" s="22"/>
      <c r="S972" s="1"/>
      <c r="T972" s="22"/>
      <c r="V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4:47" ht="15.75" customHeight="1" x14ac:dyDescent="0.2">
      <c r="D973" s="22"/>
      <c r="L973" s="22"/>
      <c r="N973" s="1"/>
      <c r="O973" s="22"/>
      <c r="P973" s="22"/>
      <c r="Q973" s="22"/>
      <c r="S973" s="1"/>
      <c r="T973" s="22"/>
      <c r="V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4:47" ht="15.75" customHeight="1" x14ac:dyDescent="0.2">
      <c r="D974" s="22"/>
      <c r="L974" s="22"/>
      <c r="N974" s="1"/>
      <c r="O974" s="22"/>
      <c r="P974" s="22"/>
      <c r="Q974" s="22"/>
      <c r="S974" s="1"/>
      <c r="T974" s="22"/>
      <c r="V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4:47" ht="15.75" customHeight="1" x14ac:dyDescent="0.2">
      <c r="D975" s="22"/>
      <c r="L975" s="22"/>
      <c r="N975" s="1"/>
      <c r="O975" s="22"/>
      <c r="P975" s="22"/>
      <c r="Q975" s="22"/>
      <c r="S975" s="1"/>
      <c r="T975" s="22"/>
      <c r="V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4:47" ht="15.75" customHeight="1" x14ac:dyDescent="0.2">
      <c r="D976" s="22"/>
      <c r="L976" s="22"/>
      <c r="N976" s="1"/>
      <c r="O976" s="22"/>
      <c r="P976" s="22"/>
      <c r="Q976" s="22"/>
      <c r="S976" s="1"/>
      <c r="T976" s="22"/>
      <c r="V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4:47" ht="15.75" customHeight="1" x14ac:dyDescent="0.2">
      <c r="D977" s="22"/>
      <c r="L977" s="22"/>
      <c r="N977" s="1"/>
      <c r="O977" s="22"/>
      <c r="P977" s="22"/>
      <c r="Q977" s="22"/>
      <c r="S977" s="1"/>
      <c r="T977" s="22"/>
      <c r="V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4:47" ht="15.75" customHeight="1" x14ac:dyDescent="0.2">
      <c r="D978" s="22"/>
      <c r="L978" s="22"/>
      <c r="N978" s="1"/>
      <c r="O978" s="22"/>
      <c r="P978" s="22"/>
      <c r="Q978" s="22"/>
      <c r="S978" s="1"/>
      <c r="T978" s="22"/>
      <c r="V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4:47" ht="15.75" customHeight="1" x14ac:dyDescent="0.2">
      <c r="D979" s="22"/>
      <c r="L979" s="22"/>
      <c r="N979" s="1"/>
      <c r="O979" s="22"/>
      <c r="P979" s="22"/>
      <c r="Q979" s="22"/>
      <c r="S979" s="1"/>
      <c r="T979" s="22"/>
      <c r="V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4:47" ht="15.75" customHeight="1" x14ac:dyDescent="0.2">
      <c r="D980" s="22"/>
      <c r="L980" s="22"/>
      <c r="N980" s="1"/>
      <c r="O980" s="22"/>
      <c r="P980" s="22"/>
      <c r="Q980" s="22"/>
      <c r="S980" s="1"/>
      <c r="T980" s="22"/>
      <c r="V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4:47" ht="15.75" customHeight="1" x14ac:dyDescent="0.2">
      <c r="D981" s="22"/>
      <c r="L981" s="22"/>
      <c r="N981" s="1"/>
      <c r="O981" s="22"/>
      <c r="P981" s="22"/>
      <c r="Q981" s="22"/>
      <c r="S981" s="1"/>
      <c r="T981" s="22"/>
      <c r="V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4:47" ht="15.75" customHeight="1" x14ac:dyDescent="0.2">
      <c r="D982" s="22"/>
      <c r="L982" s="22"/>
      <c r="N982" s="1"/>
      <c r="O982" s="22"/>
      <c r="P982" s="22"/>
      <c r="Q982" s="22"/>
      <c r="S982" s="1"/>
      <c r="T982" s="22"/>
      <c r="V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4:47" ht="15.75" customHeight="1" x14ac:dyDescent="0.2">
      <c r="D983" s="22"/>
      <c r="L983" s="22"/>
      <c r="N983" s="1"/>
      <c r="O983" s="22"/>
      <c r="P983" s="22"/>
      <c r="Q983" s="22"/>
      <c r="S983" s="1"/>
      <c r="T983" s="22"/>
      <c r="V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4:47" ht="15.75" customHeight="1" x14ac:dyDescent="0.2">
      <c r="D984" s="22"/>
      <c r="L984" s="22"/>
      <c r="N984" s="1"/>
      <c r="O984" s="22"/>
      <c r="P984" s="22"/>
      <c r="Q984" s="22"/>
      <c r="S984" s="1"/>
      <c r="T984" s="22"/>
      <c r="V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4:47" ht="15.75" customHeight="1" x14ac:dyDescent="0.2">
      <c r="D985" s="22"/>
      <c r="L985" s="22"/>
      <c r="N985" s="1"/>
      <c r="O985" s="22"/>
      <c r="P985" s="22"/>
      <c r="Q985" s="22"/>
      <c r="S985" s="1"/>
      <c r="T985" s="22"/>
      <c r="V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4:47" ht="15.75" customHeight="1" x14ac:dyDescent="0.2">
      <c r="D986" s="22"/>
      <c r="L986" s="22"/>
      <c r="N986" s="1"/>
      <c r="O986" s="22"/>
      <c r="P986" s="22"/>
      <c r="Q986" s="22"/>
      <c r="S986" s="1"/>
      <c r="T986" s="22"/>
      <c r="V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4:47" ht="15.75" customHeight="1" x14ac:dyDescent="0.2">
      <c r="D987" s="22"/>
      <c r="L987" s="22"/>
      <c r="N987" s="1"/>
      <c r="O987" s="22"/>
      <c r="P987" s="22"/>
      <c r="Q987" s="22"/>
      <c r="S987" s="1"/>
      <c r="T987" s="22"/>
      <c r="V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4:47" ht="15.75" customHeight="1" x14ac:dyDescent="0.2">
      <c r="D988" s="22"/>
      <c r="L988" s="22"/>
      <c r="N988" s="1"/>
      <c r="O988" s="22"/>
      <c r="P988" s="22"/>
      <c r="Q988" s="22"/>
      <c r="S988" s="1"/>
      <c r="T988" s="22"/>
      <c r="V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4:47" ht="15.75" customHeight="1" x14ac:dyDescent="0.2">
      <c r="D989" s="22"/>
      <c r="L989" s="22"/>
      <c r="N989" s="1"/>
      <c r="O989" s="22"/>
      <c r="P989" s="22"/>
      <c r="Q989" s="22"/>
      <c r="S989" s="1"/>
      <c r="T989" s="22"/>
      <c r="V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4:47" ht="15.75" customHeight="1" x14ac:dyDescent="0.2">
      <c r="D990" s="22"/>
      <c r="L990" s="22"/>
      <c r="N990" s="1"/>
      <c r="O990" s="22"/>
      <c r="P990" s="22"/>
      <c r="Q990" s="22"/>
      <c r="S990" s="1"/>
      <c r="T990" s="22"/>
      <c r="V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4:47" ht="15.75" customHeight="1" x14ac:dyDescent="0.2">
      <c r="D991" s="22"/>
      <c r="L991" s="22"/>
      <c r="N991" s="1"/>
      <c r="O991" s="22"/>
      <c r="P991" s="22"/>
      <c r="Q991" s="22"/>
      <c r="S991" s="1"/>
      <c r="T991" s="22"/>
      <c r="V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4:47" ht="15.75" customHeight="1" x14ac:dyDescent="0.2">
      <c r="D992" s="22"/>
      <c r="L992" s="22"/>
      <c r="N992" s="1"/>
      <c r="O992" s="22"/>
      <c r="P992" s="22"/>
      <c r="Q992" s="22"/>
      <c r="S992" s="1"/>
      <c r="T992" s="22"/>
      <c r="V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4:47" ht="15.75" customHeight="1" x14ac:dyDescent="0.2">
      <c r="D993" s="22"/>
      <c r="L993" s="22"/>
      <c r="N993" s="1"/>
      <c r="O993" s="22"/>
      <c r="P993" s="22"/>
      <c r="Q993" s="22"/>
      <c r="S993" s="1"/>
      <c r="T993" s="22"/>
      <c r="V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4:47" ht="15.75" customHeight="1" x14ac:dyDescent="0.2">
      <c r="D994" s="22"/>
      <c r="L994" s="22"/>
      <c r="N994" s="1"/>
      <c r="O994" s="22"/>
      <c r="P994" s="22"/>
      <c r="Q994" s="22"/>
      <c r="S994" s="1"/>
      <c r="T994" s="22"/>
      <c r="V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4:47" ht="15.75" customHeight="1" x14ac:dyDescent="0.2">
      <c r="D995" s="22"/>
      <c r="L995" s="22"/>
      <c r="N995" s="1"/>
      <c r="O995" s="22"/>
      <c r="P995" s="22"/>
      <c r="Q995" s="22"/>
      <c r="S995" s="1"/>
      <c r="T995" s="22"/>
      <c r="V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4:47" ht="15.75" customHeight="1" x14ac:dyDescent="0.2">
      <c r="D996" s="22"/>
      <c r="L996" s="22"/>
      <c r="N996" s="1"/>
      <c r="O996" s="22"/>
      <c r="P996" s="22"/>
      <c r="Q996" s="22"/>
      <c r="S996" s="1"/>
      <c r="T996" s="22"/>
      <c r="V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4:47" ht="15.75" customHeight="1" x14ac:dyDescent="0.2">
      <c r="D997" s="22"/>
      <c r="L997" s="22"/>
      <c r="N997" s="1"/>
      <c r="O997" s="22"/>
      <c r="P997" s="22"/>
      <c r="Q997" s="22"/>
      <c r="S997" s="1"/>
      <c r="T997" s="22"/>
      <c r="V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4:47" ht="15.75" customHeight="1" x14ac:dyDescent="0.2">
      <c r="D998" s="22"/>
      <c r="L998" s="22"/>
      <c r="N998" s="1"/>
      <c r="O998" s="22"/>
      <c r="P998" s="22"/>
      <c r="Q998" s="22"/>
      <c r="S998" s="1"/>
      <c r="T998" s="22"/>
      <c r="V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4:47" ht="15.75" customHeight="1" x14ac:dyDescent="0.2">
      <c r="D999" s="22"/>
      <c r="L999" s="22"/>
      <c r="N999" s="1"/>
      <c r="O999" s="22"/>
      <c r="P999" s="22"/>
      <c r="Q999" s="22"/>
      <c r="S999" s="1"/>
      <c r="T999" s="22"/>
      <c r="V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4:47" ht="15.75" customHeight="1" x14ac:dyDescent="0.2">
      <c r="D1000" s="22"/>
      <c r="L1000" s="22"/>
      <c r="N1000" s="1"/>
      <c r="O1000" s="22"/>
      <c r="P1000" s="22"/>
      <c r="Q1000" s="22"/>
      <c r="S1000" s="1"/>
      <c r="T1000" s="22"/>
      <c r="V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4:47" ht="15.75" customHeight="1" x14ac:dyDescent="0.2">
      <c r="D1001" s="22"/>
      <c r="L1001" s="22"/>
      <c r="N1001" s="1"/>
      <c r="O1001" s="22"/>
      <c r="P1001" s="22"/>
      <c r="Q1001" s="22"/>
      <c r="S1001" s="1"/>
      <c r="T1001" s="22"/>
      <c r="V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4:47" ht="15.75" customHeight="1" x14ac:dyDescent="0.2">
      <c r="D1002" s="22"/>
      <c r="L1002" s="22"/>
      <c r="N1002" s="1"/>
      <c r="O1002" s="22"/>
      <c r="P1002" s="22"/>
      <c r="Q1002" s="22"/>
      <c r="S1002" s="1"/>
      <c r="T1002" s="22"/>
      <c r="V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4:47" ht="15.75" customHeight="1" x14ac:dyDescent="0.2">
      <c r="D1003" s="22"/>
      <c r="L1003" s="22"/>
      <c r="N1003" s="1"/>
      <c r="O1003" s="22"/>
      <c r="P1003" s="22"/>
      <c r="Q1003" s="22"/>
      <c r="S1003" s="1"/>
      <c r="T1003" s="22"/>
      <c r="V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4:47" ht="15.75" customHeight="1" x14ac:dyDescent="0.2">
      <c r="D1004" s="22"/>
      <c r="L1004" s="22"/>
      <c r="N1004" s="1"/>
      <c r="O1004" s="22"/>
      <c r="P1004" s="22"/>
      <c r="Q1004" s="22"/>
      <c r="S1004" s="1"/>
      <c r="T1004" s="22"/>
      <c r="V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4:47" ht="15.75" customHeight="1" x14ac:dyDescent="0.2">
      <c r="D1005" s="22"/>
      <c r="L1005" s="22"/>
      <c r="N1005" s="1"/>
      <c r="O1005" s="22"/>
      <c r="P1005" s="22"/>
      <c r="Q1005" s="22"/>
      <c r="S1005" s="1"/>
      <c r="T1005" s="22"/>
      <c r="V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4:47" ht="15.75" customHeight="1" x14ac:dyDescent="0.2">
      <c r="D1006" s="22"/>
      <c r="L1006" s="22"/>
      <c r="N1006" s="1"/>
      <c r="O1006" s="22"/>
      <c r="P1006" s="22"/>
      <c r="Q1006" s="22"/>
      <c r="S1006" s="1"/>
      <c r="T1006" s="22"/>
      <c r="V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4:47" ht="15.75" customHeight="1" x14ac:dyDescent="0.2">
      <c r="D1007" s="22"/>
      <c r="L1007" s="22"/>
      <c r="N1007" s="1"/>
      <c r="O1007" s="22"/>
      <c r="P1007" s="22"/>
      <c r="Q1007" s="22"/>
      <c r="S1007" s="1"/>
      <c r="T1007" s="22"/>
      <c r="V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4:47" ht="15.75" customHeight="1" x14ac:dyDescent="0.2">
      <c r="D1008" s="22"/>
      <c r="L1008" s="22"/>
      <c r="N1008" s="1"/>
      <c r="O1008" s="22"/>
      <c r="P1008" s="22"/>
      <c r="Q1008" s="22"/>
      <c r="S1008" s="1"/>
      <c r="T1008" s="22"/>
      <c r="V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4:47" ht="15.75" customHeight="1" x14ac:dyDescent="0.2">
      <c r="D1009" s="22"/>
      <c r="L1009" s="22"/>
      <c r="N1009" s="1"/>
      <c r="O1009" s="22"/>
      <c r="P1009" s="22"/>
      <c r="Q1009" s="22"/>
      <c r="S1009" s="1"/>
      <c r="T1009" s="22"/>
      <c r="V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4:47" ht="15.75" customHeight="1" x14ac:dyDescent="0.2">
      <c r="D1010" s="22"/>
      <c r="L1010" s="22"/>
      <c r="N1010" s="1"/>
      <c r="O1010" s="22"/>
      <c r="P1010" s="22"/>
      <c r="Q1010" s="22"/>
      <c r="S1010" s="1"/>
      <c r="T1010" s="22"/>
      <c r="V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4:47" ht="15.75" customHeight="1" x14ac:dyDescent="0.2">
      <c r="D1011" s="22"/>
      <c r="L1011" s="22"/>
      <c r="N1011" s="1"/>
      <c r="O1011" s="22"/>
      <c r="P1011" s="22"/>
      <c r="Q1011" s="22"/>
      <c r="S1011" s="1"/>
      <c r="T1011" s="22"/>
      <c r="V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4:47" ht="15.75" customHeight="1" x14ac:dyDescent="0.2">
      <c r="D1012" s="22"/>
      <c r="L1012" s="22"/>
      <c r="N1012" s="1"/>
      <c r="O1012" s="22"/>
      <c r="P1012" s="22"/>
      <c r="Q1012" s="22"/>
      <c r="S1012" s="1"/>
      <c r="T1012" s="22"/>
      <c r="V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4:47" ht="15" customHeight="1" x14ac:dyDescent="0.2">
      <c r="D1013" s="22"/>
      <c r="L1013" s="22"/>
      <c r="N1013" s="1"/>
      <c r="O1013" s="22"/>
      <c r="P1013" s="22"/>
      <c r="Q1013" s="22"/>
      <c r="S1013" s="1"/>
      <c r="T1013" s="22"/>
      <c r="V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4:47" ht="15" customHeight="1" x14ac:dyDescent="0.2">
      <c r="D1014" s="22"/>
      <c r="L1014" s="22"/>
      <c r="N1014" s="1"/>
      <c r="O1014" s="22"/>
      <c r="P1014" s="22"/>
      <c r="Q1014" s="22"/>
      <c r="S1014" s="1"/>
      <c r="T1014" s="22"/>
      <c r="V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4:47" ht="15" customHeight="1" x14ac:dyDescent="0.2">
      <c r="D1015" s="22"/>
      <c r="L1015" s="22"/>
      <c r="N1015" s="1"/>
      <c r="O1015" s="22"/>
      <c r="P1015" s="22"/>
      <c r="Q1015" s="22"/>
      <c r="S1015" s="1"/>
      <c r="T1015" s="22"/>
      <c r="V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4:47" ht="15" customHeight="1" x14ac:dyDescent="0.2">
      <c r="D1016" s="22"/>
      <c r="L1016" s="22"/>
      <c r="N1016" s="1"/>
      <c r="O1016" s="22"/>
      <c r="P1016" s="22"/>
      <c r="Q1016" s="22"/>
      <c r="S1016" s="1"/>
      <c r="T1016" s="22"/>
      <c r="V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4:47" ht="15" customHeight="1" x14ac:dyDescent="0.2">
      <c r="D1017" s="22"/>
      <c r="L1017" s="22"/>
      <c r="N1017" s="1"/>
      <c r="O1017" s="22"/>
      <c r="P1017" s="22"/>
      <c r="Q1017" s="22"/>
      <c r="S1017" s="1"/>
      <c r="T1017" s="22"/>
      <c r="V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4:47" ht="15" customHeight="1" x14ac:dyDescent="0.2">
      <c r="D1018" s="22"/>
      <c r="L1018" s="22"/>
      <c r="N1018" s="1"/>
      <c r="O1018" s="22"/>
      <c r="P1018" s="22"/>
      <c r="Q1018" s="22"/>
      <c r="S1018" s="1"/>
      <c r="T1018" s="22"/>
      <c r="V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4:47" ht="15" customHeight="1" x14ac:dyDescent="0.2">
      <c r="D1019" s="22"/>
      <c r="L1019" s="22"/>
      <c r="N1019" s="1"/>
      <c r="O1019" s="22"/>
      <c r="P1019" s="22"/>
      <c r="Q1019" s="22"/>
      <c r="S1019" s="1"/>
      <c r="T1019" s="22"/>
      <c r="V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4:47" ht="15" customHeight="1" x14ac:dyDescent="0.2">
      <c r="D1020" s="22"/>
      <c r="L1020" s="22"/>
      <c r="N1020" s="1"/>
      <c r="O1020" s="22"/>
      <c r="P1020" s="22"/>
      <c r="Q1020" s="22"/>
      <c r="S1020" s="1"/>
      <c r="T1020" s="22"/>
      <c r="V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4:47" ht="15" customHeight="1" x14ac:dyDescent="0.2">
      <c r="D1021" s="22"/>
      <c r="L1021" s="22"/>
      <c r="N1021" s="1"/>
      <c r="O1021" s="22"/>
      <c r="P1021" s="22"/>
      <c r="Q1021" s="22"/>
      <c r="S1021" s="22"/>
      <c r="T1021" s="22"/>
      <c r="V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4:47" ht="15" customHeight="1" x14ac:dyDescent="0.2">
      <c r="D1022" s="22"/>
      <c r="L1022" s="22"/>
      <c r="N1022" s="1"/>
      <c r="O1022" s="22"/>
      <c r="P1022" s="22"/>
      <c r="Q1022" s="22"/>
      <c r="S1022" s="22"/>
      <c r="T1022" s="22"/>
      <c r="V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4:47" ht="15" customHeight="1" x14ac:dyDescent="0.2">
      <c r="D1023" s="22"/>
      <c r="L1023" s="22"/>
      <c r="N1023" s="1"/>
      <c r="O1023" s="22"/>
      <c r="P1023" s="22"/>
      <c r="Q1023" s="22"/>
      <c r="S1023" s="22"/>
      <c r="T1023" s="22"/>
      <c r="V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4:47" ht="15" customHeight="1" x14ac:dyDescent="0.2">
      <c r="D1024" s="22"/>
      <c r="L1024" s="22"/>
      <c r="N1024" s="1"/>
      <c r="O1024" s="22"/>
      <c r="P1024" s="22"/>
      <c r="Q1024" s="22"/>
      <c r="S1024" s="22"/>
      <c r="T1024" s="22"/>
      <c r="V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4:47" ht="15" customHeight="1" x14ac:dyDescent="0.2">
      <c r="D1025" s="22"/>
      <c r="L1025" s="22"/>
      <c r="N1025" s="1"/>
      <c r="O1025" s="22"/>
      <c r="P1025" s="22"/>
      <c r="Q1025" s="22"/>
      <c r="S1025" s="22"/>
      <c r="T1025" s="22"/>
      <c r="V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4:47" ht="15" customHeight="1" x14ac:dyDescent="0.2">
      <c r="D1026" s="22"/>
      <c r="L1026" s="22"/>
      <c r="N1026" s="1"/>
      <c r="O1026" s="22"/>
      <c r="P1026" s="22"/>
      <c r="Q1026" s="22"/>
      <c r="S1026" s="22"/>
      <c r="T1026" s="22"/>
      <c r="V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4:47" ht="15" customHeight="1" x14ac:dyDescent="0.2">
      <c r="D1027" s="22"/>
      <c r="L1027" s="22"/>
      <c r="N1027" s="1"/>
      <c r="O1027" s="22"/>
      <c r="P1027" s="22"/>
      <c r="Q1027" s="22"/>
      <c r="S1027" s="22"/>
      <c r="T1027" s="22"/>
      <c r="V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4:47" ht="15" customHeight="1" x14ac:dyDescent="0.2">
      <c r="D1028" s="22"/>
      <c r="L1028" s="22"/>
      <c r="N1028" s="1"/>
      <c r="O1028" s="22"/>
      <c r="P1028" s="22"/>
      <c r="Q1028" s="22"/>
      <c r="S1028" s="22"/>
      <c r="T1028" s="22"/>
      <c r="V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4:47" ht="15" customHeight="1" x14ac:dyDescent="0.2">
      <c r="D1029" s="22"/>
      <c r="L1029" s="22"/>
      <c r="N1029" s="1"/>
      <c r="O1029" s="22"/>
      <c r="P1029" s="22"/>
      <c r="Q1029" s="22"/>
      <c r="S1029" s="22"/>
      <c r="T1029" s="22"/>
      <c r="V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4:47" ht="15" customHeight="1" x14ac:dyDescent="0.2">
      <c r="D1030" s="22"/>
      <c r="L1030" s="22"/>
      <c r="N1030" s="1"/>
      <c r="O1030" s="22"/>
      <c r="P1030" s="22"/>
      <c r="Q1030" s="22"/>
      <c r="S1030" s="22"/>
      <c r="T1030" s="22"/>
      <c r="V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4:47" ht="15" customHeight="1" x14ac:dyDescent="0.2">
      <c r="D1031" s="22"/>
      <c r="L1031" s="22"/>
      <c r="N1031" s="1"/>
      <c r="O1031" s="22"/>
      <c r="P1031" s="22"/>
      <c r="Q1031" s="22"/>
      <c r="S1031" s="22"/>
      <c r="T1031" s="22"/>
      <c r="V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4:47" ht="15" customHeight="1" x14ac:dyDescent="0.2">
      <c r="D1032" s="22"/>
      <c r="L1032" s="22"/>
      <c r="N1032" s="1"/>
      <c r="O1032" s="22"/>
      <c r="P1032" s="22"/>
      <c r="Q1032" s="22"/>
      <c r="S1032" s="22"/>
      <c r="T1032" s="22"/>
      <c r="V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4:47" ht="15" customHeight="1" x14ac:dyDescent="0.2">
      <c r="D1033" s="22"/>
      <c r="L1033" s="22"/>
      <c r="N1033" s="1"/>
      <c r="O1033" s="22"/>
      <c r="P1033" s="22"/>
      <c r="Q1033" s="22"/>
      <c r="S1033" s="22"/>
      <c r="T1033" s="22"/>
      <c r="V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4:47" ht="15" customHeight="1" x14ac:dyDescent="0.2">
      <c r="D1034" s="22"/>
      <c r="L1034" s="22"/>
      <c r="O1034" s="22"/>
      <c r="P1034" s="22"/>
      <c r="Q1034" s="22"/>
      <c r="S1034" s="22"/>
      <c r="T1034" s="22"/>
      <c r="V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4:47" ht="15" customHeight="1" x14ac:dyDescent="0.2">
      <c r="D1035" s="22"/>
      <c r="L1035" s="22"/>
      <c r="O1035" s="22"/>
      <c r="P1035" s="22"/>
      <c r="Q1035" s="22"/>
      <c r="S1035" s="22"/>
      <c r="T1035" s="22"/>
      <c r="V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sheetData>
  <sheetProtection formatCells="0"/>
  <mergeCells count="45">
    <mergeCell ref="D20:D21"/>
    <mergeCell ref="T61:T62"/>
    <mergeCell ref="B4:C4"/>
    <mergeCell ref="B5:C5"/>
    <mergeCell ref="B6:C6"/>
    <mergeCell ref="B7:C7"/>
    <mergeCell ref="B8:C8"/>
    <mergeCell ref="B46:C46"/>
    <mergeCell ref="B47:C47"/>
    <mergeCell ref="B23:C23"/>
    <mergeCell ref="B11:C11"/>
    <mergeCell ref="B15:C15"/>
    <mergeCell ref="B9:C9"/>
    <mergeCell ref="B19:C19"/>
    <mergeCell ref="B2:C2"/>
    <mergeCell ref="A25:A60"/>
    <mergeCell ref="B44:C44"/>
    <mergeCell ref="B42:C42"/>
    <mergeCell ref="A2:A19"/>
    <mergeCell ref="B3:C3"/>
    <mergeCell ref="B20:C20"/>
    <mergeCell ref="B21:C21"/>
    <mergeCell ref="B22:C22"/>
    <mergeCell ref="B10:C10"/>
    <mergeCell ref="B12:C12"/>
    <mergeCell ref="B13:C13"/>
    <mergeCell ref="B14:C14"/>
    <mergeCell ref="B17:C17"/>
    <mergeCell ref="B45:C45"/>
    <mergeCell ref="D63:R63"/>
    <mergeCell ref="AB2:AC2"/>
    <mergeCell ref="V2:AA2"/>
    <mergeCell ref="D1:S1"/>
    <mergeCell ref="B63:C63"/>
    <mergeCell ref="B38:C38"/>
    <mergeCell ref="B39:C39"/>
    <mergeCell ref="B40:C40"/>
    <mergeCell ref="B41:C41"/>
    <mergeCell ref="B62:C62"/>
    <mergeCell ref="B61:C61"/>
    <mergeCell ref="B35:C35"/>
    <mergeCell ref="B36:C36"/>
    <mergeCell ref="B37:C37"/>
    <mergeCell ref="B43:C43"/>
    <mergeCell ref="B1:C1"/>
  </mergeCells>
  <conditionalFormatting sqref="V6 X6 E7:R7">
    <cfRule type="containsText" dxfId="33" priority="50" operator="containsText" text="NO">
      <formula>NOT(ISERROR(SEARCH("NO",E6)))</formula>
    </cfRule>
  </conditionalFormatting>
  <conditionalFormatting sqref="V6 X6 E7:R7">
    <cfRule type="containsText" dxfId="32" priority="49" operator="containsText" text="SI">
      <formula>NOT(ISERROR(SEARCH("SI",E6)))</formula>
    </cfRule>
  </conditionalFormatting>
  <conditionalFormatting sqref="E6:S6">
    <cfRule type="cellIs" dxfId="31" priority="46" operator="lessThan">
      <formula>12</formula>
    </cfRule>
  </conditionalFormatting>
  <conditionalFormatting sqref="B9">
    <cfRule type="expression" dxfId="30" priority="31">
      <formula>AND(D8&gt;0.135,D8&lt;0.137)</formula>
    </cfRule>
  </conditionalFormatting>
  <conditionalFormatting sqref="D51:P51">
    <cfRule type="expression" dxfId="29" priority="27">
      <formula>$C$34=0</formula>
    </cfRule>
  </conditionalFormatting>
  <conditionalFormatting sqref="B45 B42 D35:T42 D45:T45 B57:T57">
    <cfRule type="expression" dxfId="28" priority="26">
      <formula>$C$34=0</formula>
    </cfRule>
  </conditionalFormatting>
  <conditionalFormatting sqref="E4:T4">
    <cfRule type="containsText" dxfId="27" priority="23" operator="containsText" text="NO">
      <formula>NOT(ISERROR(SEARCH("NO",E4)))</formula>
    </cfRule>
  </conditionalFormatting>
  <conditionalFormatting sqref="B35:B41">
    <cfRule type="expression" dxfId="26" priority="22">
      <formula>$C$34=0</formula>
    </cfRule>
  </conditionalFormatting>
  <conditionalFormatting sqref="E59:T59">
    <cfRule type="cellIs" dxfId="25" priority="20" operator="equal">
      <formula>0</formula>
    </cfRule>
  </conditionalFormatting>
  <conditionalFormatting sqref="B59:S59">
    <cfRule type="expression" dxfId="24" priority="244" stopIfTrue="1">
      <formula>$C$34=0</formula>
    </cfRule>
  </conditionalFormatting>
  <conditionalFormatting sqref="E23:S23">
    <cfRule type="expression" dxfId="23" priority="10">
      <formula>E23="NO"</formula>
    </cfRule>
  </conditionalFormatting>
  <conditionalFormatting sqref="B13:B14">
    <cfRule type="expression" dxfId="22" priority="7">
      <formula>OR(D13&gt;0.35,D14&gt;0.35,D15&gt;0.35)</formula>
    </cfRule>
  </conditionalFormatting>
  <conditionalFormatting sqref="C13:C14">
    <cfRule type="expression" dxfId="21" priority="609">
      <formula>OR(E13&gt;0.35,E14&gt;0.35,E15&gt;0.35)</formula>
    </cfRule>
  </conditionalFormatting>
  <conditionalFormatting sqref="R51">
    <cfRule type="expression" dxfId="20" priority="1">
      <formula>$C$34=0</formula>
    </cfRule>
  </conditionalFormatting>
  <conditionalFormatting sqref="E58:S58">
    <cfRule type="top10" dxfId="19" priority="1791" bottom="1" rank="3"/>
    <cfRule type="iconSet" priority="1792">
      <iconSet iconSet="3Symbols2" reverse="1">
        <cfvo type="percent" val="0"/>
        <cfvo type="percentile" val="33"/>
        <cfvo type="percentile" val="67"/>
      </iconSet>
    </cfRule>
  </conditionalFormatting>
  <conditionalFormatting sqref="E60:T60">
    <cfRule type="colorScale" priority="1795">
      <colorScale>
        <cfvo type="min"/>
        <cfvo type="percentile" val="50"/>
        <cfvo type="max"/>
        <color rgb="FFF8696B"/>
        <color rgb="FFFFEB84"/>
        <color rgb="FF63BE7B"/>
      </colorScale>
    </cfRule>
  </conditionalFormatting>
  <conditionalFormatting sqref="E44:S44">
    <cfRule type="iconSet" priority="1797">
      <iconSet iconSet="4Rating">
        <cfvo type="percent" val="0"/>
        <cfvo type="percent" val="15"/>
        <cfvo type="percent" val="40"/>
        <cfvo type="percent" val="75"/>
      </iconSet>
    </cfRule>
  </conditionalFormatting>
  <conditionalFormatting sqref="E43:S43">
    <cfRule type="iconSet" priority="1799">
      <iconSet iconSet="4Rating">
        <cfvo type="percent" val="0"/>
        <cfvo type="percent" val="15"/>
        <cfvo type="percent" val="40"/>
        <cfvo type="percent" val="75"/>
      </iconSet>
    </cfRule>
  </conditionalFormatting>
  <conditionalFormatting sqref="E12:S12">
    <cfRule type="colorScale" priority="1801">
      <colorScale>
        <cfvo type="min"/>
        <cfvo type="num" val="2"/>
        <cfvo type="max"/>
        <color theme="5" tint="0.39997558519241921"/>
        <color theme="6" tint="0.79998168889431442"/>
        <color rgb="FF00B050"/>
      </colorScale>
    </cfRule>
  </conditionalFormatting>
  <conditionalFormatting sqref="E19:S19">
    <cfRule type="top10" dxfId="18" priority="1803" rank="1"/>
  </conditionalFormatting>
  <conditionalFormatting sqref="D59:S59">
    <cfRule type="top10" dxfId="17" priority="1805" rank="2"/>
    <cfRule type="iconSet" priority="1806">
      <iconSet iconSet="3Symbols2">
        <cfvo type="percent" val="0"/>
        <cfvo type="percent" val="33"/>
        <cfvo type="percent" val="67"/>
      </iconSet>
    </cfRule>
  </conditionalFormatting>
  <conditionalFormatting sqref="E61:S61">
    <cfRule type="expression" dxfId="16" priority="1809">
      <formula>(E58=SMALL($D$58:$S$58,3))</formula>
    </cfRule>
    <cfRule type="expression" dxfId="15" priority="1810">
      <formula>(E58=SMALL($D$58:$S$58,2))</formula>
    </cfRule>
    <cfRule type="expression" dxfId="14" priority="1811">
      <formula>(E58=SMALL($D$58:$S$58,1))</formula>
    </cfRule>
  </conditionalFormatting>
  <hyperlinks>
    <hyperlink ref="T20" r:id="rId1"/>
  </hyperlinks>
  <pageMargins left="0.7" right="0.7" top="0.75" bottom="0.75" header="0" footer="0"/>
  <pageSetup paperSize="9" scale="15" orientation="portrait" r:id="rId2"/>
  <ignoredErrors>
    <ignoredError sqref="B13:B15" unlockedFormula="1"/>
  </ignoredError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14</vt:i4>
      </vt:variant>
    </vt:vector>
  </HeadingPairs>
  <TitlesOfParts>
    <vt:vector size="15" baseType="lpstr">
      <vt:lpstr>Comparador</vt:lpstr>
      <vt:lpstr>Comparador!Área_de_impresión</vt:lpstr>
      <vt:lpstr>contadordia</vt:lpstr>
      <vt:lpstr>diasfct</vt:lpstr>
      <vt:lpstr>Ellano</vt:lpstr>
      <vt:lpstr>Epunta</vt:lpstr>
      <vt:lpstr>Evalle</vt:lpstr>
      <vt:lpstr>finbonsoc</vt:lpstr>
      <vt:lpstr>IEact</vt:lpstr>
      <vt:lpstr>IVAact</vt:lpstr>
      <vt:lpstr>PPdia</vt:lpstr>
      <vt:lpstr>ppuntaboe</vt:lpstr>
      <vt:lpstr>pvalleboe</vt:lpstr>
      <vt:lpstr>PVdia</vt:lpstr>
      <vt:lpstr>WEKIWI_opcion3</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Casa</dc:creator>
  <cp:keywords/>
  <dc:description/>
  <cp:lastModifiedBy>Juan Veríssimo</cp:lastModifiedBy>
  <cp:revision/>
  <dcterms:created xsi:type="dcterms:W3CDTF">2022-09-02T07:05:11Z</dcterms:created>
  <dcterms:modified xsi:type="dcterms:W3CDTF">2026-03-15T18:37:36Z</dcterms:modified>
  <cp:category/>
  <cp:contentStatus/>
</cp:coreProperties>
</file>